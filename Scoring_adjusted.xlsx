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ce.hardman/temp/"/>
    </mc:Choice>
  </mc:AlternateContent>
  <xr:revisionPtr revIDLastSave="0" documentId="13_ncr:1_{77A65DEB-413B-3C4C-B262-9F871D13CE96}" xr6:coauthVersionLast="47" xr6:coauthVersionMax="47" xr10:uidLastSave="{00000000-0000-0000-0000-000000000000}"/>
  <bookViews>
    <workbookView xWindow="0" yWindow="660" windowWidth="30240" windowHeight="17660" firstSheet="1" activeTab="11" xr2:uid="{3631619A-A007-6849-B246-2BA6DE80C38B}"/>
  </bookViews>
  <sheets>
    <sheet name="Sheet1" sheetId="1" r:id="rId1"/>
    <sheet name="T1" sheetId="2" r:id="rId2"/>
    <sheet name="T2" sheetId="4" r:id="rId3"/>
    <sheet name="T3" sheetId="5" r:id="rId4"/>
    <sheet name="T4" sheetId="6" r:id="rId5"/>
    <sheet name="T5" sheetId="7" r:id="rId6"/>
    <sheet name="T6" sheetId="8" r:id="rId7"/>
    <sheet name="T7" sheetId="9" r:id="rId8"/>
    <sheet name="T8" sheetId="10" r:id="rId9"/>
    <sheet name="T9" sheetId="11" r:id="rId10"/>
    <sheet name="T10" sheetId="12" r:id="rId11"/>
    <sheet name="Final Score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9" l="1"/>
  <c r="Q16" i="13"/>
  <c r="R16" i="13" s="1"/>
  <c r="Q17" i="13"/>
  <c r="R17" i="13" s="1"/>
  <c r="M2" i="13"/>
  <c r="M3" i="13"/>
  <c r="M4" i="13"/>
  <c r="M5" i="13"/>
  <c r="M6" i="13"/>
  <c r="M7" i="13"/>
  <c r="M8" i="13"/>
  <c r="M9" i="13"/>
  <c r="M10" i="13"/>
  <c r="Q10" i="13" s="1"/>
  <c r="M11" i="13"/>
  <c r="M12" i="13"/>
  <c r="M13" i="13"/>
  <c r="M14" i="13"/>
  <c r="M15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Q14" i="13" s="1"/>
  <c r="L15" i="13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G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B26" i="4"/>
  <c r="B30" i="12"/>
  <c r="B32" i="12" s="1"/>
  <c r="B27" i="12"/>
  <c r="B26" i="12"/>
  <c r="B24" i="12"/>
  <c r="B33" i="12" s="1"/>
  <c r="B23" i="12"/>
  <c r="E15" i="12"/>
  <c r="B15" i="12"/>
  <c r="E14" i="12"/>
  <c r="B14" i="12"/>
  <c r="E13" i="12"/>
  <c r="B13" i="12"/>
  <c r="E12" i="12"/>
  <c r="B12" i="12"/>
  <c r="E11" i="12"/>
  <c r="B11" i="12"/>
  <c r="E10" i="12"/>
  <c r="B10" i="12"/>
  <c r="E9" i="12"/>
  <c r="B9" i="12"/>
  <c r="E8" i="12"/>
  <c r="B8" i="12"/>
  <c r="E7" i="12"/>
  <c r="B7" i="12"/>
  <c r="E6" i="12"/>
  <c r="B6" i="12"/>
  <c r="E5" i="12"/>
  <c r="B5" i="12"/>
  <c r="E4" i="12"/>
  <c r="B4" i="12"/>
  <c r="E3" i="12"/>
  <c r="B3" i="12"/>
  <c r="E2" i="12"/>
  <c r="B2" i="12"/>
  <c r="B30" i="11"/>
  <c r="B32" i="11" s="1"/>
  <c r="B27" i="11"/>
  <c r="B26" i="11"/>
  <c r="B24" i="11"/>
  <c r="B33" i="11" s="1"/>
  <c r="B23" i="11"/>
  <c r="E15" i="11"/>
  <c r="B15" i="11"/>
  <c r="E14" i="11"/>
  <c r="B14" i="11"/>
  <c r="E13" i="11"/>
  <c r="B13" i="11"/>
  <c r="E12" i="11"/>
  <c r="B12" i="11"/>
  <c r="E11" i="11"/>
  <c r="B11" i="11"/>
  <c r="E10" i="11"/>
  <c r="B10" i="11"/>
  <c r="E9" i="11"/>
  <c r="B9" i="11"/>
  <c r="E8" i="11"/>
  <c r="B8" i="11"/>
  <c r="E7" i="11"/>
  <c r="B7" i="11"/>
  <c r="E6" i="11"/>
  <c r="B6" i="11"/>
  <c r="E5" i="11"/>
  <c r="B5" i="11"/>
  <c r="E4" i="11"/>
  <c r="B4" i="11"/>
  <c r="E3" i="11"/>
  <c r="B3" i="11"/>
  <c r="E2" i="11"/>
  <c r="B2" i="11"/>
  <c r="B30" i="10"/>
  <c r="B32" i="10" s="1"/>
  <c r="B27" i="10"/>
  <c r="B26" i="10"/>
  <c r="B24" i="10"/>
  <c r="B33" i="10" s="1"/>
  <c r="B23" i="10"/>
  <c r="E15" i="10"/>
  <c r="B15" i="10"/>
  <c r="E14" i="10"/>
  <c r="B14" i="10"/>
  <c r="E13" i="10"/>
  <c r="B13" i="10"/>
  <c r="E12" i="10"/>
  <c r="B12" i="10"/>
  <c r="E11" i="10"/>
  <c r="B11" i="10"/>
  <c r="E10" i="10"/>
  <c r="B10" i="10"/>
  <c r="E9" i="10"/>
  <c r="B9" i="10"/>
  <c r="E8" i="10"/>
  <c r="B8" i="10"/>
  <c r="E7" i="10"/>
  <c r="B7" i="10"/>
  <c r="E6" i="10"/>
  <c r="B6" i="10"/>
  <c r="E5" i="10"/>
  <c r="B5" i="10"/>
  <c r="E4" i="10"/>
  <c r="B4" i="10"/>
  <c r="E3" i="10"/>
  <c r="B3" i="10"/>
  <c r="E2" i="10"/>
  <c r="B2" i="10"/>
  <c r="B30" i="9"/>
  <c r="B32" i="9" s="1"/>
  <c r="B27" i="9"/>
  <c r="B26" i="9"/>
  <c r="B24" i="9"/>
  <c r="B33" i="9" s="1"/>
  <c r="B23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B6" i="9"/>
  <c r="E5" i="9"/>
  <c r="B5" i="9"/>
  <c r="E4" i="9"/>
  <c r="B4" i="9"/>
  <c r="E3" i="9"/>
  <c r="B3" i="9"/>
  <c r="E2" i="9"/>
  <c r="B2" i="9"/>
  <c r="E9" i="8"/>
  <c r="E10" i="8"/>
  <c r="E11" i="8"/>
  <c r="E12" i="8"/>
  <c r="E13" i="8"/>
  <c r="E15" i="8"/>
  <c r="E14" i="8"/>
  <c r="B30" i="8"/>
  <c r="B32" i="8" s="1"/>
  <c r="B27" i="8"/>
  <c r="B26" i="8"/>
  <c r="B24" i="8"/>
  <c r="B33" i="8" s="1"/>
  <c r="B23" i="8"/>
  <c r="B15" i="8"/>
  <c r="B14" i="8"/>
  <c r="B13" i="8"/>
  <c r="B12" i="8"/>
  <c r="B11" i="8"/>
  <c r="B10" i="8"/>
  <c r="B9" i="8"/>
  <c r="E8" i="8"/>
  <c r="B8" i="8"/>
  <c r="E7" i="8"/>
  <c r="B7" i="8"/>
  <c r="E6" i="8"/>
  <c r="B6" i="8"/>
  <c r="E5" i="8"/>
  <c r="B5" i="8"/>
  <c r="E4" i="8"/>
  <c r="B4" i="8"/>
  <c r="E3" i="8"/>
  <c r="B3" i="8"/>
  <c r="E2" i="8"/>
  <c r="B2" i="8"/>
  <c r="E15" i="7"/>
  <c r="F15" i="7" s="1"/>
  <c r="B30" i="7"/>
  <c r="B32" i="7" s="1"/>
  <c r="B27" i="7"/>
  <c r="B26" i="7"/>
  <c r="B24" i="7"/>
  <c r="B33" i="7" s="1"/>
  <c r="B23" i="7"/>
  <c r="B15" i="7"/>
  <c r="E14" i="7"/>
  <c r="B14" i="7"/>
  <c r="E13" i="7"/>
  <c r="B13" i="7"/>
  <c r="E12" i="7"/>
  <c r="B12" i="7"/>
  <c r="E11" i="7"/>
  <c r="B11" i="7"/>
  <c r="E10" i="7"/>
  <c r="B10" i="7"/>
  <c r="E9" i="7"/>
  <c r="B9" i="7"/>
  <c r="E8" i="7"/>
  <c r="B8" i="7"/>
  <c r="E7" i="7"/>
  <c r="B7" i="7"/>
  <c r="E6" i="7"/>
  <c r="B6" i="7"/>
  <c r="E5" i="7"/>
  <c r="B5" i="7"/>
  <c r="E4" i="7"/>
  <c r="B4" i="7"/>
  <c r="E3" i="7"/>
  <c r="B3" i="7"/>
  <c r="E2" i="7"/>
  <c r="B2" i="7"/>
  <c r="B30" i="6"/>
  <c r="B32" i="6" s="1"/>
  <c r="B27" i="6"/>
  <c r="B26" i="6"/>
  <c r="B24" i="6"/>
  <c r="B33" i="6" s="1"/>
  <c r="B23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E5" i="6"/>
  <c r="B5" i="6"/>
  <c r="E4" i="6"/>
  <c r="B4" i="6"/>
  <c r="E3" i="6"/>
  <c r="B3" i="6"/>
  <c r="E2" i="6"/>
  <c r="B2" i="6"/>
  <c r="B2" i="4"/>
  <c r="B3" i="4"/>
  <c r="B4" i="4"/>
  <c r="B5" i="4"/>
  <c r="B2" i="5"/>
  <c r="B30" i="5"/>
  <c r="B32" i="5" s="1"/>
  <c r="B27" i="5"/>
  <c r="B26" i="5"/>
  <c r="B24" i="5"/>
  <c r="B33" i="5" s="1"/>
  <c r="B23" i="5"/>
  <c r="B15" i="5"/>
  <c r="E14" i="5"/>
  <c r="B14" i="5"/>
  <c r="E13" i="5"/>
  <c r="B13" i="5"/>
  <c r="E12" i="5"/>
  <c r="B12" i="5"/>
  <c r="E11" i="5"/>
  <c r="B11" i="5"/>
  <c r="E10" i="5"/>
  <c r="B10" i="5"/>
  <c r="E9" i="5"/>
  <c r="B9" i="5"/>
  <c r="E8" i="5"/>
  <c r="B8" i="5"/>
  <c r="E7" i="5"/>
  <c r="B7" i="5"/>
  <c r="E6" i="5"/>
  <c r="B6" i="5"/>
  <c r="E5" i="5"/>
  <c r="B5" i="5"/>
  <c r="E4" i="5"/>
  <c r="B4" i="5"/>
  <c r="E3" i="5"/>
  <c r="B3" i="5"/>
  <c r="E2" i="5"/>
  <c r="B24" i="4"/>
  <c r="B33" i="4" s="1"/>
  <c r="E15" i="4"/>
  <c r="B30" i="4"/>
  <c r="B32" i="4" s="1"/>
  <c r="B27" i="4"/>
  <c r="B23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E8" i="4"/>
  <c r="B8" i="4"/>
  <c r="E7" i="4"/>
  <c r="B7" i="4"/>
  <c r="E6" i="4"/>
  <c r="B6" i="4"/>
  <c r="E5" i="4"/>
  <c r="E4" i="4"/>
  <c r="E3" i="4"/>
  <c r="E2" i="4"/>
  <c r="F16" i="2"/>
  <c r="B24" i="2"/>
  <c r="B33" i="2" s="1"/>
  <c r="B23" i="2"/>
  <c r="B30" i="2"/>
  <c r="B32" i="2" s="1"/>
  <c r="B27" i="2"/>
  <c r="B2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B7" i="2"/>
  <c r="B8" i="2"/>
  <c r="B9" i="2"/>
  <c r="B10" i="2"/>
  <c r="B11" i="2"/>
  <c r="B12" i="2"/>
  <c r="B13" i="2"/>
  <c r="B14" i="2"/>
  <c r="B15" i="2"/>
  <c r="B5" i="2"/>
  <c r="B4" i="2"/>
  <c r="B6" i="2"/>
  <c r="B3" i="2"/>
  <c r="Q7" i="13" l="1"/>
  <c r="Q13" i="13"/>
  <c r="Q5" i="13"/>
  <c r="Q11" i="13"/>
  <c r="Q2" i="13"/>
  <c r="Q3" i="13"/>
  <c r="Q6" i="13"/>
  <c r="Q12" i="13"/>
  <c r="Q4" i="13"/>
  <c r="Q9" i="13"/>
  <c r="Q8" i="13"/>
  <c r="Q15" i="13"/>
  <c r="B29" i="5"/>
  <c r="B28" i="4"/>
  <c r="B29" i="6"/>
  <c r="B36" i="6" s="1"/>
  <c r="B35" i="11"/>
  <c r="B34" i="2"/>
  <c r="B29" i="4"/>
  <c r="B36" i="4" s="1"/>
  <c r="B29" i="9"/>
  <c r="B36" i="9" s="1"/>
  <c r="B29" i="12"/>
  <c r="B36" i="12" s="1"/>
  <c r="B29" i="8"/>
  <c r="B36" i="8" s="1"/>
  <c r="B35" i="8"/>
  <c r="B35" i="5"/>
  <c r="B34" i="12"/>
  <c r="B28" i="12"/>
  <c r="B35" i="12"/>
  <c r="F15" i="12"/>
  <c r="B34" i="11"/>
  <c r="B29" i="11"/>
  <c r="B37" i="11" s="1"/>
  <c r="F10" i="11" s="1"/>
  <c r="B28" i="11"/>
  <c r="F15" i="11"/>
  <c r="B29" i="10"/>
  <c r="B36" i="10" s="1"/>
  <c r="B28" i="10"/>
  <c r="B34" i="10"/>
  <c r="B35" i="10"/>
  <c r="B34" i="9"/>
  <c r="B28" i="9"/>
  <c r="F14" i="9"/>
  <c r="B35" i="9"/>
  <c r="F15" i="9"/>
  <c r="B34" i="8"/>
  <c r="B28" i="8"/>
  <c r="F15" i="8"/>
  <c r="B28" i="7"/>
  <c r="B29" i="7"/>
  <c r="B36" i="7" s="1"/>
  <c r="B34" i="7"/>
  <c r="B35" i="7"/>
  <c r="B34" i="6"/>
  <c r="B35" i="6"/>
  <c r="B28" i="6"/>
  <c r="B34" i="5"/>
  <c r="B28" i="5"/>
  <c r="B36" i="5"/>
  <c r="B34" i="4"/>
  <c r="B35" i="4"/>
  <c r="B29" i="2"/>
  <c r="B37" i="2" s="1"/>
  <c r="F6" i="2" s="1"/>
  <c r="B28" i="2"/>
  <c r="B35" i="2"/>
  <c r="B37" i="9" l="1"/>
  <c r="B37" i="8"/>
  <c r="F9" i="2"/>
  <c r="F7" i="2"/>
  <c r="F8" i="2"/>
  <c r="B37" i="6"/>
  <c r="F4" i="6" s="1"/>
  <c r="F4" i="2"/>
  <c r="F5" i="2"/>
  <c r="B38" i="2"/>
  <c r="F12" i="2"/>
  <c r="F13" i="2"/>
  <c r="F2" i="2"/>
  <c r="F3" i="2"/>
  <c r="F15" i="2"/>
  <c r="F10" i="2"/>
  <c r="F11" i="2"/>
  <c r="F14" i="2"/>
  <c r="B37" i="4"/>
  <c r="F6" i="4" s="1"/>
  <c r="B37" i="12"/>
  <c r="F7" i="11"/>
  <c r="F9" i="11"/>
  <c r="B36" i="11"/>
  <c r="F12" i="11"/>
  <c r="F3" i="11"/>
  <c r="F11" i="11"/>
  <c r="F8" i="11"/>
  <c r="F2" i="11"/>
  <c r="F14" i="11"/>
  <c r="F4" i="11"/>
  <c r="B38" i="11"/>
  <c r="G5" i="11" s="1"/>
  <c r="F5" i="11"/>
  <c r="F6" i="11"/>
  <c r="F13" i="11"/>
  <c r="B37" i="10"/>
  <c r="F13" i="10" s="1"/>
  <c r="F5" i="10"/>
  <c r="F10" i="10"/>
  <c r="F11" i="10"/>
  <c r="B38" i="10"/>
  <c r="F11" i="9"/>
  <c r="F10" i="9"/>
  <c r="F13" i="9"/>
  <c r="F7" i="9"/>
  <c r="F2" i="9"/>
  <c r="F9" i="9"/>
  <c r="F6" i="9"/>
  <c r="F5" i="9"/>
  <c r="F8" i="9"/>
  <c r="F12" i="9"/>
  <c r="F3" i="9"/>
  <c r="F4" i="9"/>
  <c r="B38" i="9"/>
  <c r="F10" i="8"/>
  <c r="F4" i="8"/>
  <c r="F7" i="8"/>
  <c r="F5" i="8"/>
  <c r="F12" i="8"/>
  <c r="F9" i="8"/>
  <c r="F6" i="8"/>
  <c r="F8" i="8"/>
  <c r="F11" i="8"/>
  <c r="B38" i="8"/>
  <c r="F3" i="8"/>
  <c r="F14" i="8"/>
  <c r="F2" i="8"/>
  <c r="F13" i="8"/>
  <c r="B37" i="7"/>
  <c r="F2" i="7" s="1"/>
  <c r="F9" i="7"/>
  <c r="F6" i="7"/>
  <c r="F3" i="7"/>
  <c r="F4" i="7"/>
  <c r="F7" i="7"/>
  <c r="F13" i="7"/>
  <c r="B38" i="7"/>
  <c r="G15" i="7" s="1"/>
  <c r="H15" i="7" s="1"/>
  <c r="F2" i="6"/>
  <c r="F11" i="6"/>
  <c r="F6" i="6"/>
  <c r="F14" i="6"/>
  <c r="F10" i="6"/>
  <c r="F3" i="6"/>
  <c r="F13" i="6"/>
  <c r="F9" i="6"/>
  <c r="B38" i="6"/>
  <c r="B37" i="5"/>
  <c r="F8" i="4"/>
  <c r="F14" i="4"/>
  <c r="F2" i="4"/>
  <c r="F13" i="4"/>
  <c r="F11" i="4"/>
  <c r="F5" i="4"/>
  <c r="F7" i="4"/>
  <c r="F3" i="4"/>
  <c r="F12" i="4"/>
  <c r="F15" i="4"/>
  <c r="F10" i="4"/>
  <c r="F9" i="4"/>
  <c r="B38" i="4"/>
  <c r="B36" i="2"/>
  <c r="H5" i="11" l="1"/>
  <c r="F5" i="6"/>
  <c r="F12" i="6"/>
  <c r="G13" i="2"/>
  <c r="H13" i="2" s="1"/>
  <c r="G14" i="2"/>
  <c r="H14" i="2" s="1"/>
  <c r="G16" i="2"/>
  <c r="H16" i="2" s="1"/>
  <c r="G12" i="2"/>
  <c r="H12" i="2" s="1"/>
  <c r="G3" i="2"/>
  <c r="H3" i="2" s="1"/>
  <c r="G4" i="2"/>
  <c r="H4" i="2" s="1"/>
  <c r="G15" i="2"/>
  <c r="H15" i="2" s="1"/>
  <c r="G10" i="2"/>
  <c r="H10" i="2" s="1"/>
  <c r="G6" i="2"/>
  <c r="H6" i="2" s="1"/>
  <c r="G11" i="2"/>
  <c r="G8" i="2"/>
  <c r="H8" i="2" s="1"/>
  <c r="G7" i="2"/>
  <c r="H7" i="2" s="1"/>
  <c r="G5" i="2"/>
  <c r="H5" i="2" s="1"/>
  <c r="G2" i="2"/>
  <c r="H2" i="2" s="1"/>
  <c r="G9" i="2"/>
  <c r="H9" i="2" s="1"/>
  <c r="F5" i="7"/>
  <c r="F12" i="7"/>
  <c r="F14" i="7"/>
  <c r="F10" i="7"/>
  <c r="F8" i="7"/>
  <c r="F11" i="7"/>
  <c r="F4" i="4"/>
  <c r="F8" i="6"/>
  <c r="F7" i="6"/>
  <c r="H11" i="2"/>
  <c r="F5" i="12"/>
  <c r="F4" i="12"/>
  <c r="F11" i="12"/>
  <c r="F7" i="12"/>
  <c r="F10" i="12"/>
  <c r="F13" i="12"/>
  <c r="F3" i="12"/>
  <c r="F2" i="12"/>
  <c r="F12" i="12"/>
  <c r="F6" i="12"/>
  <c r="F8" i="12"/>
  <c r="F14" i="12"/>
  <c r="F9" i="12"/>
  <c r="B38" i="12"/>
  <c r="G15" i="11"/>
  <c r="H15" i="11" s="1"/>
  <c r="G7" i="11"/>
  <c r="H7" i="11" s="1"/>
  <c r="G13" i="11"/>
  <c r="G14" i="11"/>
  <c r="H14" i="11" s="1"/>
  <c r="G10" i="11"/>
  <c r="H10" i="11" s="1"/>
  <c r="H13" i="11"/>
  <c r="G12" i="11"/>
  <c r="H12" i="11" s="1"/>
  <c r="G4" i="11"/>
  <c r="H4" i="11" s="1"/>
  <c r="G6" i="11"/>
  <c r="H6" i="11" s="1"/>
  <c r="G2" i="11"/>
  <c r="H2" i="11" s="1"/>
  <c r="G11" i="11"/>
  <c r="H11" i="11" s="1"/>
  <c r="G9" i="11"/>
  <c r="H9" i="11" s="1"/>
  <c r="G8" i="11"/>
  <c r="H8" i="11" s="1"/>
  <c r="G3" i="11"/>
  <c r="H3" i="11" s="1"/>
  <c r="F7" i="10"/>
  <c r="F15" i="10"/>
  <c r="F3" i="10"/>
  <c r="F9" i="10"/>
  <c r="F12" i="10"/>
  <c r="F6" i="10"/>
  <c r="F14" i="10"/>
  <c r="F2" i="10"/>
  <c r="F4" i="10"/>
  <c r="F8" i="10"/>
  <c r="G4" i="10"/>
  <c r="G11" i="10"/>
  <c r="H11" i="10" s="1"/>
  <c r="G6" i="10"/>
  <c r="G10" i="10"/>
  <c r="H10" i="10" s="1"/>
  <c r="G14" i="10"/>
  <c r="G13" i="10"/>
  <c r="H13" i="10" s="1"/>
  <c r="G8" i="10"/>
  <c r="G15" i="10"/>
  <c r="H15" i="10" s="1"/>
  <c r="G2" i="10"/>
  <c r="G12" i="10"/>
  <c r="H12" i="10" s="1"/>
  <c r="G7" i="10"/>
  <c r="G5" i="10"/>
  <c r="H5" i="10" s="1"/>
  <c r="G3" i="10"/>
  <c r="G9" i="10"/>
  <c r="G13" i="9"/>
  <c r="H13" i="9" s="1"/>
  <c r="G2" i="9"/>
  <c r="H2" i="9" s="1"/>
  <c r="G4" i="9"/>
  <c r="H4" i="9" s="1"/>
  <c r="G5" i="9"/>
  <c r="H5" i="9" s="1"/>
  <c r="G7" i="9"/>
  <c r="H7" i="9" s="1"/>
  <c r="G3" i="9"/>
  <c r="H3" i="9" s="1"/>
  <c r="G11" i="9"/>
  <c r="H11" i="9" s="1"/>
  <c r="G8" i="9"/>
  <c r="H8" i="9" s="1"/>
  <c r="G9" i="9"/>
  <c r="H9" i="9" s="1"/>
  <c r="G14" i="9"/>
  <c r="H14" i="9" s="1"/>
  <c r="G10" i="9"/>
  <c r="H10" i="9" s="1"/>
  <c r="G12" i="9"/>
  <c r="G6" i="9"/>
  <c r="H6" i="9" s="1"/>
  <c r="G15" i="9"/>
  <c r="H15" i="9" s="1"/>
  <c r="G7" i="8"/>
  <c r="H7" i="8" s="1"/>
  <c r="G11" i="8"/>
  <c r="H11" i="8" s="1"/>
  <c r="G12" i="8"/>
  <c r="H12" i="8" s="1"/>
  <c r="G15" i="8"/>
  <c r="H15" i="8" s="1"/>
  <c r="G6" i="8"/>
  <c r="H6" i="8" s="1"/>
  <c r="G3" i="8"/>
  <c r="H3" i="8" s="1"/>
  <c r="G4" i="8"/>
  <c r="H4" i="8" s="1"/>
  <c r="G14" i="8"/>
  <c r="H14" i="8" s="1"/>
  <c r="G13" i="8"/>
  <c r="H13" i="8" s="1"/>
  <c r="G9" i="8"/>
  <c r="H9" i="8" s="1"/>
  <c r="G2" i="8"/>
  <c r="H2" i="8" s="1"/>
  <c r="G5" i="8"/>
  <c r="H5" i="8" s="1"/>
  <c r="G10" i="8"/>
  <c r="H10" i="8" s="1"/>
  <c r="G8" i="8"/>
  <c r="H8" i="8" s="1"/>
  <c r="G3" i="7"/>
  <c r="H3" i="7" s="1"/>
  <c r="G13" i="7"/>
  <c r="H13" i="7" s="1"/>
  <c r="G6" i="7"/>
  <c r="H6" i="7" s="1"/>
  <c r="G8" i="7"/>
  <c r="H8" i="7" s="1"/>
  <c r="G11" i="7"/>
  <c r="H11" i="7" s="1"/>
  <c r="G4" i="7"/>
  <c r="H4" i="7" s="1"/>
  <c r="G9" i="7"/>
  <c r="H9" i="7" s="1"/>
  <c r="G5" i="7"/>
  <c r="H5" i="7" s="1"/>
  <c r="G14" i="7"/>
  <c r="G2" i="7"/>
  <c r="H2" i="7" s="1"/>
  <c r="G10" i="7"/>
  <c r="H10" i="7" s="1"/>
  <c r="G12" i="7"/>
  <c r="H12" i="7" s="1"/>
  <c r="G7" i="7"/>
  <c r="H7" i="7" s="1"/>
  <c r="G9" i="6"/>
  <c r="H9" i="6" s="1"/>
  <c r="G10" i="6"/>
  <c r="H10" i="6" s="1"/>
  <c r="G3" i="6"/>
  <c r="H3" i="6" s="1"/>
  <c r="G11" i="6"/>
  <c r="H11" i="6" s="1"/>
  <c r="G4" i="6"/>
  <c r="H4" i="6" s="1"/>
  <c r="G12" i="6"/>
  <c r="H12" i="6" s="1"/>
  <c r="G5" i="6"/>
  <c r="H5" i="6" s="1"/>
  <c r="G6" i="6"/>
  <c r="H6" i="6" s="1"/>
  <c r="G7" i="6"/>
  <c r="G2" i="6"/>
  <c r="H2" i="6" s="1"/>
  <c r="G13" i="6"/>
  <c r="H13" i="6" s="1"/>
  <c r="G14" i="6"/>
  <c r="H14" i="6" s="1"/>
  <c r="G8" i="6"/>
  <c r="F7" i="5"/>
  <c r="F13" i="5"/>
  <c r="F12" i="5"/>
  <c r="F8" i="5"/>
  <c r="F9" i="5"/>
  <c r="F10" i="5"/>
  <c r="F11" i="5"/>
  <c r="F14" i="5"/>
  <c r="F4" i="5"/>
  <c r="F2" i="5"/>
  <c r="F5" i="5"/>
  <c r="F6" i="5"/>
  <c r="F3" i="5"/>
  <c r="B38" i="5"/>
  <c r="G14" i="4"/>
  <c r="H14" i="4" s="1"/>
  <c r="G5" i="4"/>
  <c r="H5" i="4" s="1"/>
  <c r="G11" i="4"/>
  <c r="H11" i="4" s="1"/>
  <c r="G8" i="4"/>
  <c r="H8" i="4" s="1"/>
  <c r="G2" i="4"/>
  <c r="H2" i="4" s="1"/>
  <c r="G15" i="4"/>
  <c r="H15" i="4" s="1"/>
  <c r="G10" i="4"/>
  <c r="H10" i="4" s="1"/>
  <c r="G6" i="4"/>
  <c r="H6" i="4" s="1"/>
  <c r="G13" i="4"/>
  <c r="H13" i="4" s="1"/>
  <c r="G4" i="4"/>
  <c r="G7" i="4"/>
  <c r="H7" i="4" s="1"/>
  <c r="G3" i="4"/>
  <c r="H3" i="4" s="1"/>
  <c r="G12" i="4"/>
  <c r="H12" i="4" s="1"/>
  <c r="G9" i="4"/>
  <c r="H9" i="4" s="1"/>
  <c r="H3" i="10" l="1"/>
  <c r="H7" i="10"/>
  <c r="H14" i="7"/>
  <c r="H7" i="6"/>
  <c r="H8" i="6"/>
  <c r="H4" i="4"/>
  <c r="O6" i="13"/>
  <c r="H6" i="10"/>
  <c r="O14" i="13"/>
  <c r="O3" i="13"/>
  <c r="G14" i="12"/>
  <c r="H14" i="12" s="1"/>
  <c r="G7" i="12"/>
  <c r="H7" i="12" s="1"/>
  <c r="O5" i="13" s="1"/>
  <c r="G8" i="12"/>
  <c r="H8" i="12" s="1"/>
  <c r="G9" i="12"/>
  <c r="H9" i="12" s="1"/>
  <c r="G15" i="12"/>
  <c r="H15" i="12" s="1"/>
  <c r="G12" i="12"/>
  <c r="H12" i="12" s="1"/>
  <c r="G11" i="12"/>
  <c r="H11" i="12" s="1"/>
  <c r="G10" i="12"/>
  <c r="H10" i="12" s="1"/>
  <c r="G5" i="12"/>
  <c r="H5" i="12" s="1"/>
  <c r="G13" i="12"/>
  <c r="H13" i="12" s="1"/>
  <c r="G2" i="12"/>
  <c r="H2" i="12" s="1"/>
  <c r="G3" i="12"/>
  <c r="H3" i="12" s="1"/>
  <c r="G4" i="12"/>
  <c r="H4" i="12" s="1"/>
  <c r="G6" i="12"/>
  <c r="H6" i="12" s="1"/>
  <c r="H2" i="10"/>
  <c r="O15" i="13" s="1"/>
  <c r="H9" i="10"/>
  <c r="H8" i="10"/>
  <c r="H4" i="10"/>
  <c r="H14" i="10"/>
  <c r="G11" i="5"/>
  <c r="H11" i="5" s="1"/>
  <c r="O10" i="13" s="1"/>
  <c r="G4" i="5"/>
  <c r="H4" i="5" s="1"/>
  <c r="G14" i="5"/>
  <c r="H14" i="5" s="1"/>
  <c r="G6" i="5"/>
  <c r="H6" i="5" s="1"/>
  <c r="O4" i="13" s="1"/>
  <c r="G2" i="5"/>
  <c r="H2" i="5" s="1"/>
  <c r="G5" i="5"/>
  <c r="H5" i="5" s="1"/>
  <c r="G10" i="5"/>
  <c r="H10" i="5" s="1"/>
  <c r="G8" i="5"/>
  <c r="H8" i="5" s="1"/>
  <c r="G13" i="5"/>
  <c r="H13" i="5" s="1"/>
  <c r="G7" i="5"/>
  <c r="H7" i="5" s="1"/>
  <c r="O13" i="13" s="1"/>
  <c r="G9" i="5"/>
  <c r="H9" i="5" s="1"/>
  <c r="O7" i="13" s="1"/>
  <c r="G3" i="5"/>
  <c r="H3" i="5" s="1"/>
  <c r="O2" i="13" s="1"/>
  <c r="G12" i="5"/>
  <c r="H12" i="5" s="1"/>
  <c r="O8" i="13" s="1"/>
  <c r="P5" i="13" l="1"/>
  <c r="R5" i="13"/>
  <c r="P2" i="13"/>
  <c r="R2" i="13"/>
  <c r="P7" i="13"/>
  <c r="R7" i="13"/>
  <c r="P15" i="13"/>
  <c r="R15" i="13"/>
  <c r="P3" i="13"/>
  <c r="R3" i="13"/>
  <c r="P13" i="13"/>
  <c r="R13" i="13"/>
  <c r="P8" i="13"/>
  <c r="R8" i="13"/>
  <c r="P14" i="13"/>
  <c r="R14" i="13"/>
  <c r="P6" i="13"/>
  <c r="R6" i="13"/>
  <c r="P10" i="13"/>
  <c r="R10" i="13"/>
  <c r="P4" i="13"/>
  <c r="R4" i="13"/>
  <c r="O9" i="13"/>
  <c r="O12" i="13"/>
  <c r="O11" i="13"/>
  <c r="P12" i="13" l="1"/>
  <c r="R12" i="13"/>
  <c r="P11" i="13"/>
  <c r="R11" i="13"/>
  <c r="P9" i="13"/>
  <c r="R9" i="13"/>
</calcChain>
</file>

<file path=xl/sharedStrings.xml><?xml version="1.0" encoding="utf-8"?>
<sst xmlns="http://schemas.openxmlformats.org/spreadsheetml/2006/main" count="521" uniqueCount="82">
  <si>
    <t>Glider</t>
  </si>
  <si>
    <t>Pilot</t>
  </si>
  <si>
    <t>Speed</t>
  </si>
  <si>
    <t>Distance</t>
  </si>
  <si>
    <t>Finished</t>
  </si>
  <si>
    <t>Penalty</t>
  </si>
  <si>
    <t>FL</t>
  </si>
  <si>
    <t>OR</t>
  </si>
  <si>
    <t>YY</t>
  </si>
  <si>
    <t>EX</t>
  </si>
  <si>
    <t>IP3</t>
  </si>
  <si>
    <t>1E</t>
  </si>
  <si>
    <t>UFO</t>
  </si>
  <si>
    <t>ZFI</t>
  </si>
  <si>
    <t>XR</t>
  </si>
  <si>
    <t>OG</t>
  </si>
  <si>
    <t>DD</t>
  </si>
  <si>
    <t>4D</t>
  </si>
  <si>
    <t>B</t>
  </si>
  <si>
    <t>Felipe Levin</t>
  </si>
  <si>
    <t>Sebastian Kawa</t>
  </si>
  <si>
    <t>Michael Sommer</t>
  </si>
  <si>
    <t>Sylvain Gerbaud</t>
  </si>
  <si>
    <t>Laurent Aboulin</t>
  </si>
  <si>
    <t>Tomas Rendla</t>
  </si>
  <si>
    <t>Pierre de Broqueville</t>
  </si>
  <si>
    <t>Russell Cheetham</t>
  </si>
  <si>
    <t>Max Leenders</t>
  </si>
  <si>
    <t>Jiri Kusbach</t>
  </si>
  <si>
    <t>Bas Seijffert</t>
  </si>
  <si>
    <t>Oscar Goudriaan</t>
  </si>
  <si>
    <t>Christian Hynek</t>
  </si>
  <si>
    <t>David Jansen</t>
  </si>
  <si>
    <t>Jan Buch-Madsen</t>
  </si>
  <si>
    <t>CN</t>
  </si>
  <si>
    <t>EB29R</t>
  </si>
  <si>
    <t>JS5</t>
  </si>
  <si>
    <t>EB29DR</t>
  </si>
  <si>
    <t>JS1-21</t>
  </si>
  <si>
    <t>JS3-18</t>
  </si>
  <si>
    <t>5</t>
  </si>
  <si>
    <t>72</t>
  </si>
  <si>
    <t>DM</t>
  </si>
  <si>
    <t>D1</t>
  </si>
  <si>
    <t>V0</t>
  </si>
  <si>
    <t>T0</t>
  </si>
  <si>
    <t>N</t>
  </si>
  <si>
    <t>N1</t>
  </si>
  <si>
    <t>N3</t>
  </si>
  <si>
    <t>N2</t>
  </si>
  <si>
    <t>D0</t>
  </si>
  <si>
    <t>PmaxDist</t>
  </si>
  <si>
    <t>PmaxTime</t>
  </si>
  <si>
    <t>Pm</t>
  </si>
  <si>
    <t>F</t>
  </si>
  <si>
    <t>Fcr</t>
  </si>
  <si>
    <t>Pvm</t>
  </si>
  <si>
    <t>Pdm</t>
  </si>
  <si>
    <t>Speed Pt</t>
  </si>
  <si>
    <t>Dist Pt</t>
  </si>
  <si>
    <t>TOTAL PT</t>
  </si>
  <si>
    <t>EB 29R</t>
  </si>
  <si>
    <t>EB 29DR</t>
  </si>
  <si>
    <t>JS1C TJ 21m</t>
  </si>
  <si>
    <t>JS3 RES 18m</t>
  </si>
  <si>
    <t>SUM(XLOOKUP('T1'!;'T1'!$A$2:$A$16;'T1'!$H$2:$H$16); XLOOKUP('T2'!;'T2'!$A$2:$A$16;'T2'!$H$2:$H$16); XLOOKUP('T3'!;'T3'!$A$2:$A$16;'T3'!$H$2:$H$16); XLOOKUP('T4'!;'T4'!$A$2:$A$16;'T4'!$H$2:$H$16); XLOOKUP('T5'!;'T5'!$A$2:$A$16;'T5'!$H$2:$H$16); XLOOKUP('T6'!;'T6'!$A$2:$A$16;'T6'!$H$2:$H$16); XLOOKUP('T7'!;'T7'!$A$2:$A$16;'T7'!$H$2:$H$16); XLOOKUP('T8'!;'T8'!$A$2:$A$16;'T8'!$H$2:$H$16); XLOOKUP('T9'!;'T9'!$A$2:$A$16;'T9'!$H$2:$H$16); XLOOKUP('T10'!;'T10'!$A$2:$A$16;'T10'!$H$2:$H$16))</t>
  </si>
  <si>
    <t>diff</t>
  </si>
  <si>
    <t xml:space="preserve">Original Score </t>
  </si>
  <si>
    <t>Column1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</si>
  <si>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</si>
  <si>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</si>
  <si>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</si>
  <si>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</si>
  <si>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</si>
  <si>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</si>
  <si>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</si>
  <si>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</si>
  <si>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</si>
  <si>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</si>
  <si>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Column2</t>
  </si>
  <si>
    <t>-</t>
  </si>
  <si>
    <t>Recalculated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</si>
</sst>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006100"/>
      <name val="Aptos Narrow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1" fillId="0" borderId="0" xfId="0" applyFont="1"/>
    <xf numFmtId="1" fontId="3" fillId="0" borderId="0" xfId="0" applyNumberFormat="1" applyFont="1"/>
    <xf numFmtId="1" fontId="0" fillId="0" borderId="0" xfId="0" applyNumberFormat="1"/>
    <xf numFmtId="0" fontId="4" fillId="0" borderId="0" xfId="0" applyFont="1"/>
    <xf numFmtId="0" fontId="0" fillId="0" borderId="3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" fontId="0" fillId="0" borderId="3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3" xfId="0" applyBorder="1" applyAlignment="1">
      <alignment vertical="center"/>
    </xf>
    <xf numFmtId="1" fontId="6" fillId="4" borderId="3" xfId="1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3" borderId="2" xfId="0" quotePrefix="1" applyFont="1" applyFill="1" applyBorder="1" applyAlignment="1">
      <alignment vertical="center"/>
    </xf>
    <xf numFmtId="0" fontId="4" fillId="0" borderId="2" xfId="0" quotePrefix="1" applyFont="1" applyBorder="1" applyAlignment="1">
      <alignment vertical="center"/>
    </xf>
    <xf numFmtId="1" fontId="7" fillId="0" borderId="3" xfId="0" applyNumberFormat="1" applyFont="1" applyBorder="1" applyAlignment="1">
      <alignment vertical="center"/>
    </xf>
    <xf numFmtId="0" fontId="3" fillId="0" borderId="0" xfId="0" quotePrefix="1" applyFont="1" applyAlignment="1">
      <alignment vertical="center"/>
    </xf>
  </cellXfs>
  <cellStyles count="2">
    <cellStyle name="Good" xfId="1" builtinId="26"/>
    <cellStyle name="Normal" xfId="0" builtinId="0"/>
  </cellStyles>
  <dxfs count="66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AD404-F5E5-1741-9AE4-A13D6F22D09C}" name="Table1" displayName="Table1" ref="A1:C17" totalsRowShown="0">
  <autoFilter ref="A1:C17" xr:uid="{1C8AD404-F5E5-1741-9AE4-A13D6F22D09C}"/>
  <tableColumns count="3">
    <tableColumn id="1" xr3:uid="{404AE089-7A1B-CB4A-87E8-FBF672163BDF}" name="CN"/>
    <tableColumn id="7" xr3:uid="{C589DE5A-C564-A745-A146-52970A01C8E9}" name="Glider" dataDxfId="64"/>
    <tableColumn id="2" xr3:uid="{314C5E48-8AA0-4944-AA8B-8F9830D4F425}" name="Pil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01881-6937-8E43-9CF0-27BF2810B347}" name="Day_1" displayName="Day_1" ref="A1:I16" totalsRowShown="0">
  <autoFilter ref="A1:I16" xr:uid="{1C8AD404-F5E5-1741-9AE4-A13D6F22D09C}"/>
  <tableColumns count="9">
    <tableColumn id="1" xr3:uid="{7F6BD561-6262-E149-A7EB-4B6464C15E06}" name="Glider" dataDxfId="63"/>
    <tableColumn id="2" xr3:uid="{75624AD5-9D08-7B48-A178-A9D2E9127B8A}" name="Pilot"/>
    <tableColumn id="3" xr3:uid="{2026CE79-2BB6-9F41-A396-7B7E926C2818}" name="Speed"/>
    <tableColumn id="4" xr3:uid="{A01AC5E7-AB02-9545-BFE6-B338D51F241C}" name="Distance"/>
    <tableColumn id="5" xr3:uid="{E7FE6004-CF2A-1C49-9912-B469D23E7A50}" name="Finished" dataDxfId="62">
      <calculatedColumnFormula>TRUE</calculatedColumnFormula>
    </tableColumn>
    <tableColumn id="7" xr3:uid="{8D332400-5621-2A4D-8EBA-E56EDB5B1529}" name="Speed Pt" dataDxfId="61">
      <calculatedColumnFormula>IF(E2, $B$37 * MAX(0, (C2 - 2/3*$B$23) / (1/3*$B$23)), 0)</calculatedColumnFormula>
    </tableColumn>
    <tableColumn id="8" xr3:uid="{A17E68BD-D23C-544C-BA19-361E002DA4CD}" name="Dist Pt" dataDxfId="60">
      <calculatedColumnFormula>IF(E2, $B$38, $B$38 * (D2/$B$30))</calculatedColumnFormula>
    </tableColumn>
    <tableColumn id="9" xr3:uid="{785D8242-E9F3-0449-A52B-37B8851C1C30}" name="TOTAL PT" dataDxfId="59">
      <calculatedColumnFormula>Day_1[[#This Row],[Speed Pt]]+Day_1[[#This Row],[Dist Pt]]</calculatedColumnFormula>
    </tableColumn>
    <tableColumn id="6" xr3:uid="{B5502023-374F-6240-A61C-8D9A10F148CE}" name="Penal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2BBBD-EEEB-CA45-A1D3-67A6AFB1CBA1}" name="Day_2" displayName="Day_2" ref="A1:I16" totalsRowShown="0">
  <autoFilter ref="A1:I16" xr:uid="{1C8AD404-F5E5-1741-9AE4-A13D6F22D09C}"/>
  <tableColumns count="9">
    <tableColumn id="1" xr3:uid="{90228566-60CD-B442-858B-CB171C310880}" name="Glider" dataDxfId="58"/>
    <tableColumn id="2" xr3:uid="{66C73CBA-65C4-3C47-BE0C-98FAF5B1E0FA}" name="Pilot"/>
    <tableColumn id="3" xr3:uid="{2FB107DF-E926-BB4B-8D88-01A056602D45}" name="Speed"/>
    <tableColumn id="4" xr3:uid="{5D361FAE-3813-4A48-82F3-4B82454C694C}" name="Distance"/>
    <tableColumn id="5" xr3:uid="{BB044C85-9FCF-014A-B1CC-3ED8A704C382}" name="Finished" dataDxfId="57">
      <calculatedColumnFormula>TRUE</calculatedColumnFormula>
    </tableColumn>
    <tableColumn id="7" xr3:uid="{73C9A4D7-1F2E-D54C-B0D1-6EF36EAFEB69}" name="Speed Pt" dataDxfId="56">
      <calculatedColumnFormula>IF(E2, $B$37 * MAX(0, (C2 - 2/3*$B$23) / (1/3*$B$23)), 0)</calculatedColumnFormula>
    </tableColumn>
    <tableColumn id="8" xr3:uid="{B26EF15F-379A-D24C-A936-32E6C6A7BE47}" name="Dist Pt" dataDxfId="55">
      <calculatedColumnFormula>IF(E2, $B$38, $B$38 * (D2/$B$30))</calculatedColumnFormula>
    </tableColumn>
    <tableColumn id="9" xr3:uid="{12FC501A-B216-5447-8AD3-2E85AABD1826}" name="TOTAL PT" dataDxfId="54">
      <calculatedColumnFormula>Day_2[[#This Row],[Speed Pt]]+Day_2[[#This Row],[Dist Pt]]</calculatedColumnFormula>
    </tableColumn>
    <tableColumn id="6" xr3:uid="{803988F4-5B3A-6648-8843-257280FBE160}" name="Penal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0B8F5D-E54F-E34E-83AB-6782FEA8A285}" name="Day_3" displayName="Day_3" ref="A1:I16" totalsRowShown="0">
  <autoFilter ref="A1:I16" xr:uid="{1C8AD404-F5E5-1741-9AE4-A13D6F22D09C}"/>
  <tableColumns count="9">
    <tableColumn id="1" xr3:uid="{D2118349-2AF5-964C-AD02-42EE8F9979FA}" name="Glider" dataDxfId="53"/>
    <tableColumn id="2" xr3:uid="{8677F9A3-EDF3-3A4B-8322-68ADFAFC4B1A}" name="Pilot"/>
    <tableColumn id="3" xr3:uid="{67159943-1300-CE4C-B689-7F8982110A16}" name="Speed"/>
    <tableColumn id="4" xr3:uid="{BC6053D0-799F-0A40-BE9F-BFE3651ADCB9}" name="Distance"/>
    <tableColumn id="5" xr3:uid="{4B0B7722-350D-964D-A7B6-83150FA23BCB}" name="Finished" dataDxfId="52">
      <calculatedColumnFormula>TRUE</calculatedColumnFormula>
    </tableColumn>
    <tableColumn id="7" xr3:uid="{0AFCD8C8-F0F7-2440-A84B-44B19FC6FFC9}" name="Speed Pt" dataDxfId="51">
      <calculatedColumnFormula>IF(E2, $B$37 * MAX(0, (C2 - 2/3*$B$23) / (1/3*$B$23)), 0)</calculatedColumnFormula>
    </tableColumn>
    <tableColumn id="8" xr3:uid="{2951BF53-2D31-4244-9DD4-5C12718DC496}" name="Dist Pt" dataDxfId="50">
      <calculatedColumnFormula>IF(E2, $B$38, $B$38 * (D2/$B$30))</calculatedColumnFormula>
    </tableColumn>
    <tableColumn id="9" xr3:uid="{035E31CD-6A7F-FC46-93B1-DF38E24631A2}" name="TOTAL PT" dataDxfId="49">
      <calculatedColumnFormula>Day_3[[#This Row],[Speed Pt]]+Day_3[[#This Row],[Dist Pt]]</calculatedColumnFormula>
    </tableColumn>
    <tableColumn id="6" xr3:uid="{B7175F60-AA8A-2F43-9954-77FC4D8D78A7}" name="Penal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90371B-1FD8-D842-92FE-A8359C4FCA93}" name="Day_4" displayName="Day_4" ref="A1:I16" totalsRowShown="0">
  <autoFilter ref="A1:I16" xr:uid="{1C8AD404-F5E5-1741-9AE4-A13D6F22D09C}"/>
  <tableColumns count="9">
    <tableColumn id="1" xr3:uid="{5960982E-1A52-E54D-BF94-A819E9249867}" name="Glider" dataDxfId="48"/>
    <tableColumn id="2" xr3:uid="{F0F4F3C5-1289-734D-91F6-90790E762B50}" name="Pilot"/>
    <tableColumn id="3" xr3:uid="{0A36772C-E22A-814F-A85E-ABD44FF36AD1}" name="Speed"/>
    <tableColumn id="4" xr3:uid="{895A1BAE-02D8-3F4A-86F3-FC8EF360E748}" name="Distance"/>
    <tableColumn id="5" xr3:uid="{E347DA4D-3DE9-094C-87E4-7BA0C4915385}" name="Finished" dataDxfId="47">
      <calculatedColumnFormula>TRUE</calculatedColumnFormula>
    </tableColumn>
    <tableColumn id="7" xr3:uid="{D8847391-210C-A542-9E56-7301353614B1}" name="Speed Pt" dataDxfId="46">
      <calculatedColumnFormula>IF(E2, $B$37 * MAX(0, (C2 - 2/3*$B$23) / (1/3*$B$23)), 0)</calculatedColumnFormula>
    </tableColumn>
    <tableColumn id="8" xr3:uid="{9252669F-600A-0047-9A9C-4929132305ED}" name="Dist Pt" dataDxfId="45">
      <calculatedColumnFormula>IF(E2, $B$38, $B$38 * (D2/$B$30))</calculatedColumnFormula>
    </tableColumn>
    <tableColumn id="9" xr3:uid="{0FCD48F6-3318-514F-95A1-C133D8247EF8}" name="TOTAL PT" dataDxfId="44">
      <calculatedColumnFormula>Day_4[[#This Row],[Speed Pt]]+Day_4[[#This Row],[Dist Pt]]</calculatedColumnFormula>
    </tableColumn>
    <tableColumn id="6" xr3:uid="{3780B6E6-4035-C445-8C08-71113B85451B}" name="Penal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C97B83-FB17-9540-A7AE-5B51115017DE}" name="Day_5" displayName="Day_5" ref="A1:I16" totalsRowShown="0">
  <autoFilter ref="A1:I16" xr:uid="{1C8AD404-F5E5-1741-9AE4-A13D6F22D09C}"/>
  <tableColumns count="9">
    <tableColumn id="1" xr3:uid="{37D0C144-4211-1040-B936-134BD8395ACE}" name="Glider" dataDxfId="43"/>
    <tableColumn id="2" xr3:uid="{1F6F5FF2-5534-6E47-8A0B-58D8D749817F}" name="Pilot"/>
    <tableColumn id="3" xr3:uid="{D95BC910-2F9D-8C41-A24D-D996EF064AD9}" name="Speed"/>
    <tableColumn id="4" xr3:uid="{380BA1D7-2A81-0F49-9907-FAEA336E37A8}" name="Distance"/>
    <tableColumn id="5" xr3:uid="{FE0746DC-BE61-2144-8310-2E848F66DBF1}" name="Finished" dataDxfId="42">
      <calculatedColumnFormula>TRUE</calculatedColumnFormula>
    </tableColumn>
    <tableColumn id="7" xr3:uid="{5B5649FB-F658-C148-BF8F-C492EB900644}" name="Speed Pt" dataDxfId="41">
      <calculatedColumnFormula>IF(E2, $B$37 * MAX(0, (C2 - 2/3*$B$23) / (1/3*$B$23)), 0)</calculatedColumnFormula>
    </tableColumn>
    <tableColumn id="8" xr3:uid="{7FA92573-3135-E24D-BF8B-2CB9F333FFF3}" name="Dist Pt" dataDxfId="40">
      <calculatedColumnFormula>IF(E2, $B$38, $B$38 * (D2/$B$30))</calculatedColumnFormula>
    </tableColumn>
    <tableColumn id="9" xr3:uid="{B58048DC-21D2-214B-B02E-975643527897}" name="TOTAL PT" dataDxfId="39">
      <calculatedColumnFormula>Day_5[[#This Row],[Speed Pt]]+Day_5[[#This Row],[Dist Pt]]</calculatedColumnFormula>
    </tableColumn>
    <tableColumn id="6" xr3:uid="{F20D2018-51A0-3643-8A04-AEF3E41E8ADF}" name="Penal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253C4F-259A-B742-BF84-B317DDB150F6}" name="Day_6" displayName="Day_6" ref="A1:I16" totalsRowShown="0">
  <autoFilter ref="A1:I16" xr:uid="{1C8AD404-F5E5-1741-9AE4-A13D6F22D09C}"/>
  <tableColumns count="9">
    <tableColumn id="1" xr3:uid="{F04BDD7F-A020-9C40-B46F-1583D2EE4376}" name="Glider" dataDxfId="38"/>
    <tableColumn id="2" xr3:uid="{358C8FE7-AF63-9C48-8D6D-DDFCA6908F24}" name="Pilot"/>
    <tableColumn id="3" xr3:uid="{38A543B6-3490-444F-B100-051560677D2B}" name="Speed"/>
    <tableColumn id="4" xr3:uid="{CEC2A1FD-9A4D-4A41-8442-FD13188D480D}" name="Distance"/>
    <tableColumn id="5" xr3:uid="{D53EB2C3-F597-7648-866E-3382BA6C7B35}" name="Finished" dataDxfId="37">
      <calculatedColumnFormula>TRUE</calculatedColumnFormula>
    </tableColumn>
    <tableColumn id="7" xr3:uid="{0EF25061-F5D1-5244-8339-1C4108A9FC19}" name="Speed Pt" dataDxfId="36">
      <calculatedColumnFormula>IF(E2, $B$37 * MAX(0, (C2 - 2/3*$B$23) / (1/3*$B$23)), 0)</calculatedColumnFormula>
    </tableColumn>
    <tableColumn id="8" xr3:uid="{BEBC22F1-DA3E-864A-8D11-5843590214F2}" name="Dist Pt" dataDxfId="35">
      <calculatedColumnFormula>IF(E2, $B$38, $B$38 * (D2/$B$30))</calculatedColumnFormula>
    </tableColumn>
    <tableColumn id="9" xr3:uid="{F822288B-1EEC-5841-8E3C-E6415073298A}" name="TOTAL PT" dataDxfId="34">
      <calculatedColumnFormula>Day_6[[#This Row],[Speed Pt]]+Day_6[[#This Row],[Dist Pt]]</calculatedColumnFormula>
    </tableColumn>
    <tableColumn id="6" xr3:uid="{B6FD859F-E32C-004B-96E2-3BA6C095B1F7}" name="Penal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3EDDBF-290A-784F-81B0-F53D2003B203}" name="Day_7" displayName="Day_7" ref="A1:I16" totalsRowShown="0">
  <autoFilter ref="A1:I16" xr:uid="{1C8AD404-F5E5-1741-9AE4-A13D6F22D09C}"/>
  <tableColumns count="9">
    <tableColumn id="1" xr3:uid="{1AECB2B5-EA56-4A40-8ADF-D098D703925F}" name="Glider" dataDxfId="33"/>
    <tableColumn id="2" xr3:uid="{574CF84B-1B81-1D43-B086-BAA10D683FAF}" name="Pilot"/>
    <tableColumn id="3" xr3:uid="{4842A2EB-69FA-C84D-82CD-14C59F64D717}" name="Speed"/>
    <tableColumn id="4" xr3:uid="{6B7F2A45-CCEA-D54A-AB7C-CED33FB2E2D4}" name="Distance"/>
    <tableColumn id="5" xr3:uid="{A56FC724-3C19-2C42-B0B4-96DB474F1924}" name="Finished" dataDxfId="32">
      <calculatedColumnFormula>TRUE</calculatedColumnFormula>
    </tableColumn>
    <tableColumn id="7" xr3:uid="{FABCAB50-F5B9-494C-8BD7-4873F71905D3}" name="Speed Pt" dataDxfId="31">
      <calculatedColumnFormula>IF(E2, $B$37 * MAX(0, (C2 - 2/3*$B$23) / (1/3*$B$23)), 0)</calculatedColumnFormula>
    </tableColumn>
    <tableColumn id="8" xr3:uid="{8E8DFD68-8EAD-D741-96D0-5F3529A05AAD}" name="Dist Pt" dataDxfId="30">
      <calculatedColumnFormula>IF(E2, $B$38, $B$38 * (D2/$B$30))</calculatedColumnFormula>
    </tableColumn>
    <tableColumn id="9" xr3:uid="{6FD44293-2CC7-9747-8F89-63E0FC2EFA50}" name="TOTAL PT" dataDxfId="29">
      <calculatedColumnFormula>Day_7[[#This Row],[Speed Pt]]+Day_7[[#This Row],[Dist Pt]]</calculatedColumnFormula>
    </tableColumn>
    <tableColumn id="6" xr3:uid="{D9F0B06D-C06B-A040-8696-22A253D4BDE4}" name="Penal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B70CDA-8EEA-C147-BF35-995962D55833}" name="Day_8" displayName="Day_8" ref="A1:I16" totalsRowShown="0">
  <autoFilter ref="A1:I16" xr:uid="{1C8AD404-F5E5-1741-9AE4-A13D6F22D09C}"/>
  <tableColumns count="9">
    <tableColumn id="1" xr3:uid="{2A401CFF-720F-494A-A1C5-C7E90691E246}" name="Glider" dataDxfId="28"/>
    <tableColumn id="2" xr3:uid="{4093AA1E-4696-CE42-B1C3-E71E23EDD529}" name="Pilot"/>
    <tableColumn id="3" xr3:uid="{B7E2FEAB-6BE1-0B4A-8A0D-2EA9A4552552}" name="Speed"/>
    <tableColumn id="4" xr3:uid="{F6F23DEF-CA5C-B145-B039-A382AC1A7253}" name="Distance"/>
    <tableColumn id="5" xr3:uid="{B0AC3295-E992-AE48-91C4-4EA7B8D21889}" name="Finished" dataDxfId="27">
      <calculatedColumnFormula>TRUE</calculatedColumnFormula>
    </tableColumn>
    <tableColumn id="7" xr3:uid="{51556E8E-A0FD-1B4B-B9C5-901DA9ED875C}" name="Speed Pt" dataDxfId="26">
      <calculatedColumnFormula>IF(E2, $B$37 * MAX(0, (C2 - 2/3*$B$23) / (1/3*$B$23)), 0)</calculatedColumnFormula>
    </tableColumn>
    <tableColumn id="8" xr3:uid="{6365C816-58BE-4D49-9FE1-70CFEC3BB20C}" name="Dist Pt" dataDxfId="25">
      <calculatedColumnFormula>IF(E2, $B$38, $B$38 * (D2/$B$30))</calculatedColumnFormula>
    </tableColumn>
    <tableColumn id="9" xr3:uid="{04C3D871-B2FB-984E-946F-3D20EE70EB35}" name="TOTAL PT" dataDxfId="24">
      <calculatedColumnFormula>Day_8[[#This Row],[Speed Pt]]+Day_8[[#This Row],[Dist Pt]]</calculatedColumnFormula>
    </tableColumn>
    <tableColumn id="6" xr3:uid="{D0DB9111-2B55-CD48-98CD-AA78916476BD}" name="Penal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19B9DC-3A88-C245-98E8-22C5AD1D22DC}" name="Day_9" displayName="Day_9" ref="A1:I16" totalsRowShown="0">
  <autoFilter ref="A1:I16" xr:uid="{1C8AD404-F5E5-1741-9AE4-A13D6F22D09C}"/>
  <tableColumns count="9">
    <tableColumn id="1" xr3:uid="{2AF1A588-B7FB-2349-A3F9-C21D0934C3D4}" name="Glider" dataDxfId="23"/>
    <tableColumn id="2" xr3:uid="{C8202495-5487-F54C-B530-EB5710448972}" name="Pilot"/>
    <tableColumn id="3" xr3:uid="{4ADED311-0F12-2647-82A5-5F7485737E1A}" name="Speed"/>
    <tableColumn id="4" xr3:uid="{661948F0-7AB1-C54F-946C-79300214D66C}" name="Distance"/>
    <tableColumn id="5" xr3:uid="{05B4CE0C-45DA-E948-81E4-B21F61E005A2}" name="Finished" dataDxfId="22">
      <calculatedColumnFormula>TRUE</calculatedColumnFormula>
    </tableColumn>
    <tableColumn id="7" xr3:uid="{246B1DCA-0081-364C-8F8C-60CFEE4AF4FF}" name="Speed Pt" dataDxfId="21">
      <calculatedColumnFormula>IF(E2, $B$37 * MAX(0, (C2 - 2/3*$B$23) / (1/3*$B$23)), 0)</calculatedColumnFormula>
    </tableColumn>
    <tableColumn id="8" xr3:uid="{E37E6F2A-6C03-A844-A8D0-8EFF916AEF71}" name="Dist Pt" dataDxfId="20">
      <calculatedColumnFormula>IF(E2, $B$38, $B$38 * (D2/$B$30))</calculatedColumnFormula>
    </tableColumn>
    <tableColumn id="9" xr3:uid="{FD51DEF9-D508-5A4F-990E-482BC1A3150F}" name="TOTAL PT" dataDxfId="19">
      <calculatedColumnFormula>Day_9[[#This Row],[Speed Pt]]+Day_9[[#This Row],[Dist Pt]]</calculatedColumnFormula>
    </tableColumn>
    <tableColumn id="6" xr3:uid="{AC0C771F-8DC0-6E45-9809-2751B6290513}" name="Penal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E172A59-12EE-394E-9B42-A9438F7D047A}" name="Day_10" displayName="Day_10" ref="A1:I16" totalsRowShown="0">
  <autoFilter ref="A1:I16" xr:uid="{1C8AD404-F5E5-1741-9AE4-A13D6F22D09C}"/>
  <tableColumns count="9">
    <tableColumn id="1" xr3:uid="{175E2832-A983-A443-A72F-E002DC689552}" name="Glider" dataDxfId="18"/>
    <tableColumn id="2" xr3:uid="{4BC12536-DE0F-9E40-A280-1797238CA9D1}" name="Pilot"/>
    <tableColumn id="3" xr3:uid="{A3D333F9-30E8-D54C-914C-095E8EAC4923}" name="Speed"/>
    <tableColumn id="4" xr3:uid="{24C61339-FB51-134D-BEF6-AE511A97FBAA}" name="Distance"/>
    <tableColumn id="5" xr3:uid="{83C2FBA5-7D7B-8948-BCBE-F8C93F80AC12}" name="Finished" dataDxfId="17">
      <calculatedColumnFormula>TRUE</calculatedColumnFormula>
    </tableColumn>
    <tableColumn id="7" xr3:uid="{A9A1CB47-B130-3B48-8B8A-A507DF67AED2}" name="Speed Pt" dataDxfId="16">
      <calculatedColumnFormula>IF(E2, $B$37 * MAX(0, (C2 - 2/3*$B$23) / (1/3*$B$23)), 0)</calculatedColumnFormula>
    </tableColumn>
    <tableColumn id="8" xr3:uid="{0879ACA7-6A24-3C42-8903-9A9CA17D47AC}" name="Dist Pt" dataDxfId="15">
      <calculatedColumnFormula>IF(E2, $B$38, $B$38 * (D2/$B$30))</calculatedColumnFormula>
    </tableColumn>
    <tableColumn id="9" xr3:uid="{7D4DB869-4C90-EE43-A502-6034FF231768}" name="TOTAL PT" dataDxfId="14">
      <calculatedColumnFormula>Day_10[[#This Row],[Speed Pt]]+Day_10[[#This Row],[Dist Pt]]</calculatedColumnFormula>
    </tableColumn>
    <tableColumn id="6" xr3:uid="{FDD6AF95-2849-DA4A-B8B8-DFB2F04C9126}" name="Penal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172E82-A6E8-A646-9E9C-CC78E2BFBCF6}" name="Table12" displayName="Table12" ref="A1:R17" totalsRowShown="0">
  <autoFilter ref="A1:R17" xr:uid="{02172E82-A6E8-A646-9E9C-CC78E2BFBCF6}"/>
  <sortState xmlns:xlrd2="http://schemas.microsoft.com/office/spreadsheetml/2017/richdata2" ref="A2:P17">
    <sortCondition descending="1" ref="P1:P17"/>
  </sortState>
  <tableColumns count="18">
    <tableColumn id="1" xr3:uid="{65CD614A-D044-034A-8A97-4715971B84CA}" name="CN"/>
    <tableColumn id="2" xr3:uid="{A28BCD1C-D9AE-404E-A045-D28AA7384842}" name="Pilot"/>
    <tableColumn id="3" xr3:uid="{E02381AF-A1B0-7A45-9845-C21351A63DCA}" name="Glider"/>
    <tableColumn id="7" xr3:uid="{54941FFE-5381-184B-A0EF-3E340E42EB0E}" name="Task1" dataDxfId="11">
      <calculatedColumnFormula>_xlfn.XLOOKUP(Table12[[#This Row],[CN]],'T1'!$A$2:$A$15,'T1'!$H$2:$H$15)</calculatedColumnFormula>
    </tableColumn>
    <tableColumn id="8" xr3:uid="{FA0D3798-0A78-8C45-B03B-6B2670AB88CC}" name="Task2" dataDxfId="10">
      <calculatedColumnFormula>_xlfn.XLOOKUP(Table12[[#This Row],[CN]],'T2'!$A$2:$A$15,'T2'!$H$2:$H$15)</calculatedColumnFormula>
    </tableColumn>
    <tableColumn id="9" xr3:uid="{5195ACE7-6C63-034A-9AF0-C4B9F73C562A}" name="Task3" dataDxfId="9">
      <calculatedColumnFormula>_xlfn.XLOOKUP(Table12[[#This Row],[CN]],'T3'!$A$2:$A$15,'T3'!$H$2:$H$15)</calculatedColumnFormula>
    </tableColumn>
    <tableColumn id="10" xr3:uid="{DAFBC7B8-2FA0-2C4C-98EE-097CCDB9D4A9}" name="Task4" dataDxfId="8">
      <calculatedColumnFormula>_xlfn.XLOOKUP(Table12[[#This Row],[CN]],'T4'!$A$2:$A$15,'T4'!$H$2:$H$15)</calculatedColumnFormula>
    </tableColumn>
    <tableColumn id="11" xr3:uid="{BF8AEAB0-4B0A-9742-BD4E-1BAD0344DAA0}" name="Task5" dataDxfId="7">
      <calculatedColumnFormula>_xlfn.XLOOKUP(Table12[[#This Row],[CN]],'T5'!$A$2:$A$15,'T5'!$H$2:$H$15)</calculatedColumnFormula>
    </tableColumn>
    <tableColumn id="12" xr3:uid="{35F4BE03-3BBF-654F-9EC7-7074A97B25A9}" name="Task6" dataDxfId="6">
      <calculatedColumnFormula>_xlfn.XLOOKUP(Table12[[#This Row],[CN]],'T6'!$A$2:$A$15,'T6'!$H$2:$H$15)</calculatedColumnFormula>
    </tableColumn>
    <tableColumn id="13" xr3:uid="{FE77737B-C9DA-4246-A843-FB522F6809F6}" name="Task7" dataDxfId="5">
      <calculatedColumnFormula>_xlfn.XLOOKUP(Table12[[#This Row],[CN]],'T7'!$A$2:$A$15,'T7'!$H$2:$H$15)</calculatedColumnFormula>
    </tableColumn>
    <tableColumn id="14" xr3:uid="{7C2B8C4C-E9F9-7B4D-9990-39EDEC34A1CF}" name="Task8" dataDxfId="4">
      <calculatedColumnFormula>_xlfn.XLOOKUP(Table12[[#This Row],[CN]],'T8'!$A$2:$A$15,'T8'!$H$2:$H$15)</calculatedColumnFormula>
    </tableColumn>
    <tableColumn id="15" xr3:uid="{7F900329-4524-434C-975B-FE218C94A548}" name="Task9" dataDxfId="3">
      <calculatedColumnFormula>_xlfn.XLOOKUP(Table12[[#This Row],[CN]],'T9'!$A$2:$A$15,'T9'!$H$2:$H$15)</calculatedColumnFormula>
    </tableColumn>
    <tableColumn id="16" xr3:uid="{069782FD-B3F2-6C47-9A57-9DC977FF4A35}" name="Task10" dataDxfId="2">
      <calculatedColumnFormula>_xlfn.XLOOKUP(Table12[[#This Row],[CN]],'T10'!$A$2:$A$15,'T10'!$H$2:$H$15)</calculatedColumnFormula>
    </tableColumn>
    <tableColumn id="4" xr3:uid="{408D7A70-4C97-DA46-9093-3A95B8D0969B}" name="Original Score " dataDxfId="13"/>
    <tableColumn id="6" xr3:uid="{FF6A2BA6-8DED-E94C-84A2-111952DE7BC1}" name="Recalculated Score" dataDxfId="12">
      <calculatedColumnFormula>SUMIF('T1'!$A$2:$A$15, $A2, 'T1'!$H$2:$H$15)
+SUMIF('T2'!$A$2:$A$15, $A2, 'T2'!$H$2:$H$15)
+SUMIF('T3'!$A$2:$A$15, $A2, 'T3'!$H$2:$H$15)
+SUMIF('T4'!$A$2:$A$15, $A2, 'T4'!$H$2:$H$15)
+SUMIF('T5'!$A$2:$A$15, $A2, 'T5'!$H$2:$H$15)
+SUMIF('T6'!$A$2:$A$15, $A2, 'T6'!$H$2:$H$15)
+SUMIF('T7'!$A$2:$A$15, $A2, 'T7'!$H$2:$H$15)
+SUMIF('T8'!$A$2:$A$15, $A2, 'T8'!$H$2:$H$15)
+SUMIF('T9'!$A$2:$A$15, $A2, 'T9'!$H$2:$H$15)
+SUMIF('T10'!$A$2:$A$15, $A2, 'T10'!$H$2:$H$15)</calculatedColumnFormula>
    </tableColumn>
    <tableColumn id="5" xr3:uid="{8F39C51F-F785-6B4A-9E81-08363511874E}" name="diff" dataDxfId="65">
      <calculatedColumnFormula>Table12[[#This Row],[Recalculated Score]]-Table12[[#This Row],[Original Score ]]</calculatedColumnFormula>
    </tableColumn>
    <tableColumn id="17" xr3:uid="{748BB853-68D9-7D48-A52C-2590B2196097}" name="Column1" dataDxfId="1">
      <calculatedColumnFormula>SUM(Table12[[#This Row],[Task1]:[Task10]])</calculatedColumnFormula>
    </tableColumn>
    <tableColumn id="18" xr3:uid="{B3F095D2-F7FA-304A-B626-DA85F91158A5}" name="Column2" dataDxfId="0">
      <calculatedColumnFormula>Table12[[#This Row],[Column1]]-Table12[[#This Row],[Recalculated Score]]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F872-0885-E64E-A31B-854E019E83A8}">
  <dimension ref="A1:C16"/>
  <sheetViews>
    <sheetView workbookViewId="0">
      <selection activeCell="A6" sqref="A6"/>
    </sheetView>
  </sheetViews>
  <sheetFormatPr baseColWidth="10" defaultRowHeight="16" x14ac:dyDescent="0.2"/>
  <cols>
    <col min="3" max="3" width="18.5" customWidth="1"/>
  </cols>
  <sheetData>
    <row r="1" spans="1:3" x14ac:dyDescent="0.2">
      <c r="A1" t="s">
        <v>34</v>
      </c>
      <c r="B1" t="s">
        <v>0</v>
      </c>
      <c r="C1" t="s">
        <v>1</v>
      </c>
    </row>
    <row r="2" spans="1:3" x14ac:dyDescent="0.2">
      <c r="A2" s="1" t="s">
        <v>6</v>
      </c>
      <c r="B2" s="1" t="s">
        <v>35</v>
      </c>
      <c r="C2" t="s">
        <v>19</v>
      </c>
    </row>
    <row r="3" spans="1:3" x14ac:dyDescent="0.2">
      <c r="A3" s="1" t="s">
        <v>8</v>
      </c>
      <c r="B3" s="1" t="s">
        <v>36</v>
      </c>
      <c r="C3" t="s">
        <v>20</v>
      </c>
    </row>
    <row r="4" spans="1:3" x14ac:dyDescent="0.2">
      <c r="A4" s="1" t="s">
        <v>7</v>
      </c>
      <c r="B4" s="1" t="s">
        <v>35</v>
      </c>
      <c r="C4" t="s">
        <v>21</v>
      </c>
    </row>
    <row r="5" spans="1:3" x14ac:dyDescent="0.2">
      <c r="A5" s="2" t="s">
        <v>41</v>
      </c>
      <c r="B5" s="1" t="s">
        <v>35</v>
      </c>
      <c r="C5" t="s">
        <v>22</v>
      </c>
    </row>
    <row r="6" spans="1:3" x14ac:dyDescent="0.2">
      <c r="A6" s="2" t="s">
        <v>40</v>
      </c>
      <c r="B6" s="1" t="s">
        <v>36</v>
      </c>
      <c r="C6" t="s">
        <v>23</v>
      </c>
    </row>
    <row r="7" spans="1:3" x14ac:dyDescent="0.2">
      <c r="A7" s="1" t="s">
        <v>9</v>
      </c>
      <c r="B7" s="1" t="s">
        <v>35</v>
      </c>
      <c r="C7" t="s">
        <v>24</v>
      </c>
    </row>
    <row r="8" spans="1:3" x14ac:dyDescent="0.2">
      <c r="A8" s="1" t="s">
        <v>10</v>
      </c>
      <c r="B8" s="1" t="s">
        <v>37</v>
      </c>
      <c r="C8" t="s">
        <v>25</v>
      </c>
    </row>
    <row r="9" spans="1:3" x14ac:dyDescent="0.2">
      <c r="A9" s="1" t="s">
        <v>11</v>
      </c>
      <c r="B9" s="1" t="s">
        <v>36</v>
      </c>
      <c r="C9" t="s">
        <v>26</v>
      </c>
    </row>
    <row r="10" spans="1:3" x14ac:dyDescent="0.2">
      <c r="A10" s="1" t="s">
        <v>12</v>
      </c>
      <c r="B10" s="1" t="s">
        <v>37</v>
      </c>
      <c r="C10" t="s">
        <v>27</v>
      </c>
    </row>
    <row r="11" spans="1:3" x14ac:dyDescent="0.2">
      <c r="A11" s="1" t="s">
        <v>13</v>
      </c>
      <c r="B11" s="1" t="s">
        <v>38</v>
      </c>
      <c r="C11" t="s">
        <v>28</v>
      </c>
    </row>
    <row r="12" spans="1:3" x14ac:dyDescent="0.2">
      <c r="A12" s="1" t="s">
        <v>14</v>
      </c>
      <c r="B12" s="1" t="s">
        <v>35</v>
      </c>
      <c r="C12" t="s">
        <v>29</v>
      </c>
    </row>
    <row r="13" spans="1:3" x14ac:dyDescent="0.2">
      <c r="A13" s="1" t="s">
        <v>15</v>
      </c>
      <c r="B13" s="1" t="s">
        <v>36</v>
      </c>
      <c r="C13" t="s">
        <v>30</v>
      </c>
    </row>
    <row r="14" spans="1:3" x14ac:dyDescent="0.2">
      <c r="A14" s="1" t="s">
        <v>16</v>
      </c>
      <c r="B14" s="1" t="s">
        <v>37</v>
      </c>
      <c r="C14" t="s">
        <v>31</v>
      </c>
    </row>
    <row r="15" spans="1:3" x14ac:dyDescent="0.2">
      <c r="A15" s="1" t="s">
        <v>17</v>
      </c>
      <c r="B15" s="1" t="s">
        <v>36</v>
      </c>
      <c r="C15" t="s">
        <v>32</v>
      </c>
    </row>
    <row r="16" spans="1:3" x14ac:dyDescent="0.2">
      <c r="A16" s="1" t="s">
        <v>18</v>
      </c>
      <c r="B16" s="1" t="s">
        <v>39</v>
      </c>
      <c r="C1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2D2C-7246-3146-892D-CAF629C60AB0}">
  <dimension ref="A1:I38"/>
  <sheetViews>
    <sheetView workbookViewId="0">
      <selection activeCell="A16" sqref="A16:XFD16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6</v>
      </c>
      <c r="B2" t="s">
        <v>19</v>
      </c>
      <c r="C2">
        <v>120.79</v>
      </c>
      <c r="D2">
        <v>382.25</v>
      </c>
      <c r="E2" t="b">
        <f>TRUE</f>
        <v>1</v>
      </c>
      <c r="F2">
        <f t="shared" ref="F2:F16" si="0">IF(E2, $B$37 * MAX(0, (C2 - 2/3*$B$23) / (1/3*$B$23)), 0)</f>
        <v>666.66666666666663</v>
      </c>
      <c r="G2" s="4">
        <f t="shared" ref="G2:G16" si="1">IF(E2, $B$38, $B$38 * (D2/$B$30))</f>
        <v>333.33333333333337</v>
      </c>
      <c r="H2" s="5">
        <f>Day_1[[#This Row],[Speed Pt]]+Day_1[[#This Row],[Dist Pt]]</f>
        <v>1000</v>
      </c>
      <c r="I2">
        <v>0</v>
      </c>
    </row>
    <row r="3" spans="1:9" x14ac:dyDescent="0.2">
      <c r="A3" t="s">
        <v>7</v>
      </c>
      <c r="B3" t="str">
        <f>_xlfn.XLOOKUP(Day_1[[#This Row],[Glider]],Sheet1!$A$2:$A$16,Sheet1!$C$2:$C$16)</f>
        <v>Michael Sommer</v>
      </c>
      <c r="C3">
        <v>120.13</v>
      </c>
      <c r="D3">
        <v>383.62</v>
      </c>
      <c r="E3" t="b">
        <f>TRUE</f>
        <v>1</v>
      </c>
      <c r="F3">
        <f t="shared" si="0"/>
        <v>655.73860970830901</v>
      </c>
      <c r="G3">
        <f t="shared" si="1"/>
        <v>333.33333333333337</v>
      </c>
      <c r="H3" s="5">
        <f>Day_1[[#This Row],[Speed Pt]]+Day_1[[#This Row],[Dist Pt]]</f>
        <v>989.07194304164238</v>
      </c>
      <c r="I3">
        <v>0</v>
      </c>
    </row>
    <row r="4" spans="1:9" x14ac:dyDescent="0.2">
      <c r="A4" t="s">
        <v>14</v>
      </c>
      <c r="B4" t="str">
        <f>_xlfn.XLOOKUP(Day_1[[#This Row],[Glider]],Sheet1!$A$2:$A$16,Sheet1!$C$2:$C$16)</f>
        <v>Bas Seijffert</v>
      </c>
      <c r="C4">
        <v>110.69</v>
      </c>
      <c r="D4">
        <v>354.72</v>
      </c>
      <c r="E4" t="b">
        <f>TRUE</f>
        <v>1</v>
      </c>
      <c r="F4">
        <f t="shared" si="0"/>
        <v>499.43427987968084</v>
      </c>
      <c r="G4">
        <f t="shared" si="1"/>
        <v>333.33333333333337</v>
      </c>
      <c r="H4" s="5">
        <f>Day_1[[#This Row],[Speed Pt]]+Day_1[[#This Row],[Dist Pt]]</f>
        <v>832.76761321301422</v>
      </c>
      <c r="I4">
        <v>0</v>
      </c>
    </row>
    <row r="5" spans="1:9" x14ac:dyDescent="0.2">
      <c r="A5" s="3" t="s">
        <v>40</v>
      </c>
      <c r="B5" t="str">
        <f>_xlfn.XLOOKUP(Day_1[[#This Row],[Glider]],Sheet1!$A$2:$A$16,Sheet1!$C$2:$C$16)</f>
        <v>Laurent Aboulin</v>
      </c>
      <c r="C5">
        <v>109.66</v>
      </c>
      <c r="D5">
        <v>364.54</v>
      </c>
      <c r="E5" t="b">
        <f>TRUE</f>
        <v>1</v>
      </c>
      <c r="F5">
        <f t="shared" si="0"/>
        <v>482.37988795981988</v>
      </c>
      <c r="G5">
        <f t="shared" si="1"/>
        <v>333.33333333333337</v>
      </c>
      <c r="H5" s="5">
        <f>Day_1[[#This Row],[Speed Pt]]+Day_1[[#This Row],[Dist Pt]]</f>
        <v>815.71322129315331</v>
      </c>
      <c r="I5">
        <v>0</v>
      </c>
    </row>
    <row r="6" spans="1:9" x14ac:dyDescent="0.2">
      <c r="A6" t="s">
        <v>10</v>
      </c>
      <c r="B6" t="str">
        <f>_xlfn.XLOOKUP(Day_1[[#This Row],[Glider]],Sheet1!$A$2:$A$16,Sheet1!$C$2:$C$16)</f>
        <v>Pierre de Broqueville</v>
      </c>
      <c r="C6">
        <v>109.68</v>
      </c>
      <c r="D6">
        <v>334.66</v>
      </c>
      <c r="E6" t="b">
        <f>TRUE</f>
        <v>1</v>
      </c>
      <c r="F6">
        <f t="shared" si="0"/>
        <v>482.71104120098244</v>
      </c>
      <c r="G6">
        <f t="shared" si="1"/>
        <v>333.33333333333337</v>
      </c>
      <c r="H6" s="5">
        <f>Day_1[[#This Row],[Speed Pt]]+Day_1[[#This Row],[Dist Pt]]</f>
        <v>816.04437453431581</v>
      </c>
      <c r="I6">
        <v>0</v>
      </c>
    </row>
    <row r="7" spans="1:9" x14ac:dyDescent="0.2">
      <c r="A7" s="3" t="s">
        <v>41</v>
      </c>
      <c r="B7" t="str">
        <f>_xlfn.XLOOKUP(Day_1[[#This Row],[Glider]],Sheet1!$A$2:$A$16,Sheet1!$C$2:$C$16)</f>
        <v>Sylvain Gerbaud</v>
      </c>
      <c r="C7">
        <v>109.46</v>
      </c>
      <c r="D7">
        <v>363.98</v>
      </c>
      <c r="E7" t="b">
        <f>TRUE</f>
        <v>1</v>
      </c>
      <c r="F7">
        <f t="shared" si="0"/>
        <v>479.06835554819639</v>
      </c>
      <c r="G7">
        <f t="shared" si="1"/>
        <v>333.33333333333337</v>
      </c>
      <c r="H7" s="5">
        <f>Day_1[[#This Row],[Speed Pt]]+Day_1[[#This Row],[Dist Pt]]</f>
        <v>812.40168888152971</v>
      </c>
      <c r="I7">
        <v>0</v>
      </c>
    </row>
    <row r="8" spans="1:9" x14ac:dyDescent="0.2">
      <c r="A8" t="s">
        <v>8</v>
      </c>
      <c r="B8" t="str">
        <f>_xlfn.XLOOKUP(Day_1[[#This Row],[Glider]],Sheet1!$A$2:$A$16,Sheet1!$C$2:$C$16)</f>
        <v>Sebastian Kawa</v>
      </c>
      <c r="C8">
        <v>104.73</v>
      </c>
      <c r="D8">
        <v>351.62</v>
      </c>
      <c r="E8" t="b">
        <f>TRUE</f>
        <v>1</v>
      </c>
      <c r="F8">
        <f t="shared" si="0"/>
        <v>400.75061401330129</v>
      </c>
      <c r="G8">
        <f t="shared" si="1"/>
        <v>333.33333333333337</v>
      </c>
      <c r="H8" s="5">
        <f>Day_1[[#This Row],[Speed Pt]]+Day_1[[#This Row],[Dist Pt]]</f>
        <v>734.08394734663466</v>
      </c>
      <c r="I8">
        <v>0</v>
      </c>
    </row>
    <row r="9" spans="1:9" x14ac:dyDescent="0.2">
      <c r="A9" t="s">
        <v>16</v>
      </c>
      <c r="B9" t="str">
        <f>_xlfn.XLOOKUP(Day_1[[#This Row],[Glider]],Sheet1!$A$2:$A$16,Sheet1!$C$2:$C$16)</f>
        <v>Christian Hynek</v>
      </c>
      <c r="C9">
        <v>103.75</v>
      </c>
      <c r="D9">
        <v>350.49</v>
      </c>
      <c r="E9" t="b">
        <f>TRUE</f>
        <v>1</v>
      </c>
      <c r="F9">
        <f t="shared" si="0"/>
        <v>384.52410519634617</v>
      </c>
      <c r="G9">
        <f t="shared" si="1"/>
        <v>333.33333333333337</v>
      </c>
      <c r="H9" s="5">
        <f>Day_1[[#This Row],[Speed Pt]]+Day_1[[#This Row],[Dist Pt]]</f>
        <v>717.85743852967948</v>
      </c>
      <c r="I9">
        <v>0</v>
      </c>
    </row>
    <row r="10" spans="1:9" x14ac:dyDescent="0.2">
      <c r="A10" t="s">
        <v>9</v>
      </c>
      <c r="B10" t="str">
        <f>_xlfn.XLOOKUP(Day_1[[#This Row],[Glider]],Sheet1!$A$2:$A$16,Sheet1!$C$2:$C$16)</f>
        <v>Tomas Rendla</v>
      </c>
      <c r="C10">
        <v>101.15</v>
      </c>
      <c r="D10">
        <v>330.72</v>
      </c>
      <c r="E10" t="b">
        <f>TRUE</f>
        <v>1</v>
      </c>
      <c r="F10">
        <f t="shared" si="0"/>
        <v>341.47418384524104</v>
      </c>
      <c r="G10">
        <f t="shared" si="1"/>
        <v>333.33333333333337</v>
      </c>
      <c r="H10" s="5">
        <f>Day_1[[#This Row],[Speed Pt]]+Day_1[[#This Row],[Dist Pt]]</f>
        <v>674.80751717857447</v>
      </c>
      <c r="I10">
        <v>0</v>
      </c>
    </row>
    <row r="11" spans="1:9" x14ac:dyDescent="0.2">
      <c r="A11" t="s">
        <v>11</v>
      </c>
      <c r="B11" t="str">
        <f>_xlfn.XLOOKUP(Day_1[[#This Row],[Glider]],Sheet1!$A$2:$A$16,Sheet1!$C$2:$C$16)</f>
        <v>Russell Cheetham</v>
      </c>
      <c r="C11">
        <v>100.57</v>
      </c>
      <c r="D11">
        <v>315.75</v>
      </c>
      <c r="E11" t="b">
        <f>TRUE</f>
        <v>1</v>
      </c>
      <c r="F11">
        <f t="shared" si="0"/>
        <v>331.87073985153273</v>
      </c>
      <c r="G11">
        <f t="shared" si="1"/>
        <v>333.33333333333337</v>
      </c>
      <c r="H11" s="5">
        <f>Day_1[[#This Row],[Speed Pt]]+Day_1[[#This Row],[Dist Pt]]</f>
        <v>665.20407318486605</v>
      </c>
      <c r="I11">
        <v>0</v>
      </c>
    </row>
    <row r="12" spans="1:9" x14ac:dyDescent="0.2">
      <c r="A12" t="s">
        <v>13</v>
      </c>
      <c r="B12" t="str">
        <f>_xlfn.XLOOKUP(Day_1[[#This Row],[Glider]],Sheet1!$A$2:$A$16,Sheet1!$C$2:$C$16)</f>
        <v>Jiri Kusbach</v>
      </c>
      <c r="C12">
        <v>99.64</v>
      </c>
      <c r="D12">
        <v>329.37</v>
      </c>
      <c r="E12" t="b">
        <f>TRUE</f>
        <v>1</v>
      </c>
      <c r="F12">
        <f t="shared" si="0"/>
        <v>316.47211413748369</v>
      </c>
      <c r="G12">
        <f t="shared" si="1"/>
        <v>333.33333333333337</v>
      </c>
      <c r="H12" s="5">
        <f>Day_1[[#This Row],[Speed Pt]]+Day_1[[#This Row],[Dist Pt]]</f>
        <v>649.80544747081706</v>
      </c>
      <c r="I12">
        <v>0</v>
      </c>
    </row>
    <row r="13" spans="1:9" x14ac:dyDescent="0.2">
      <c r="A13" t="s">
        <v>12</v>
      </c>
      <c r="B13" t="str">
        <f>_xlfn.XLOOKUP(Day_1[[#This Row],[Glider]],Sheet1!$A$2:$A$16,Sheet1!$C$2:$C$16)</f>
        <v>Max Leenders</v>
      </c>
      <c r="C13">
        <v>98.05</v>
      </c>
      <c r="D13">
        <v>315.11</v>
      </c>
      <c r="E13" t="b">
        <f>TRUE</f>
        <v>1</v>
      </c>
      <c r="F13">
        <f t="shared" si="0"/>
        <v>290.14543146507697</v>
      </c>
      <c r="G13">
        <f t="shared" si="1"/>
        <v>333.33333333333337</v>
      </c>
      <c r="H13" s="5">
        <f>Day_1[[#This Row],[Speed Pt]]+Day_1[[#This Row],[Dist Pt]]</f>
        <v>623.47876479841034</v>
      </c>
      <c r="I13">
        <v>0</v>
      </c>
    </row>
    <row r="14" spans="1:9" x14ac:dyDescent="0.2">
      <c r="A14" t="s">
        <v>17</v>
      </c>
      <c r="B14" t="str">
        <f>_xlfn.XLOOKUP(Day_1[[#This Row],[Glider]],Sheet1!$A$2:$A$16,Sheet1!$C$2:$C$16)</f>
        <v>David Jansen</v>
      </c>
      <c r="C14">
        <v>96.69</v>
      </c>
      <c r="D14">
        <v>308.05</v>
      </c>
      <c r="E14" t="b">
        <f>TRUE</f>
        <v>1</v>
      </c>
      <c r="F14">
        <f t="shared" si="0"/>
        <v>267.62701106603737</v>
      </c>
      <c r="G14">
        <f t="shared" si="1"/>
        <v>333.33333333333337</v>
      </c>
      <c r="H14" s="5">
        <f>Day_1[[#This Row],[Speed Pt]]+Day_1[[#This Row],[Dist Pt]]</f>
        <v>600.9603443993708</v>
      </c>
      <c r="I14">
        <v>0</v>
      </c>
    </row>
    <row r="15" spans="1:9" x14ac:dyDescent="0.2">
      <c r="A15" t="s">
        <v>15</v>
      </c>
      <c r="B15" t="str">
        <f>_xlfn.XLOOKUP(Day_1[[#This Row],[Glider]],Sheet1!$A$2:$A$16,Sheet1!$C$2:$C$16)</f>
        <v>Oscar Goudriaan</v>
      </c>
      <c r="C15">
        <v>91.97</v>
      </c>
      <c r="D15">
        <v>322.92</v>
      </c>
      <c r="E15" t="b">
        <f>TRUE</f>
        <v>1</v>
      </c>
      <c r="F15">
        <f t="shared" si="0"/>
        <v>189.47484615172326</v>
      </c>
      <c r="G15">
        <f t="shared" si="1"/>
        <v>333.33333333333337</v>
      </c>
      <c r="H15" s="5">
        <f>Day_1[[#This Row],[Speed Pt]]+Day_1[[#This Row],[Dist Pt]]</f>
        <v>522.8081794850566</v>
      </c>
      <c r="I15">
        <v>0</v>
      </c>
    </row>
    <row r="16" spans="1:9" x14ac:dyDescent="0.2">
      <c r="A16" s="1"/>
      <c r="F16">
        <f t="shared" si="0"/>
        <v>0</v>
      </c>
      <c r="G16">
        <f t="shared" si="1"/>
        <v>0</v>
      </c>
      <c r="H16">
        <f>Day_1[[#This Row],[Speed Pt]]+Day_1[[#This Row],[Dist Pt]]</f>
        <v>0</v>
      </c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120.79</v>
      </c>
    </row>
    <row r="24" spans="1:2" x14ac:dyDescent="0.2">
      <c r="A24" t="s">
        <v>45</v>
      </c>
      <c r="B24">
        <f>D2/C2*3600</f>
        <v>11392.499379087672</v>
      </c>
    </row>
    <row r="26" spans="1:2" ht="17" x14ac:dyDescent="0.25">
      <c r="A26" t="s">
        <v>46</v>
      </c>
      <c r="B26" s="4">
        <f xml:space="preserve"> COUNT(C2:C15)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14</v>
      </c>
    </row>
    <row r="29" spans="1:2" x14ac:dyDescent="0.2">
      <c r="A29" t="s">
        <v>49</v>
      </c>
      <c r="B29">
        <f>COUNTIFS(E2:E15, TRUE, C2:C15, "&gt;" &amp; 2/3*$B$23)</f>
        <v>14</v>
      </c>
    </row>
    <row r="30" spans="1:2" x14ac:dyDescent="0.2">
      <c r="A30" t="s">
        <v>50</v>
      </c>
      <c r="B30">
        <f>MAX(D2:D15)</f>
        <v>383.62</v>
      </c>
    </row>
    <row r="32" spans="1:2" ht="17" x14ac:dyDescent="0.25">
      <c r="A32" t="s">
        <v>51</v>
      </c>
      <c r="B32" s="4">
        <f xml:space="preserve"> 1250 * (B30/B22) - 250</f>
        <v>1120.0714285714284</v>
      </c>
    </row>
    <row r="33" spans="1:2" x14ac:dyDescent="0.2">
      <c r="A33" t="s">
        <v>52</v>
      </c>
      <c r="B33">
        <f xml:space="preserve"> IF(B24&lt;=0, 1000, (400*B24/3600) - 200)</f>
        <v>1065.8332643430747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666.66666666666663</v>
      </c>
    </row>
    <row r="38" spans="1:2" x14ac:dyDescent="0.2">
      <c r="A38" t="s">
        <v>57</v>
      </c>
      <c r="B38">
        <f>B34-B37</f>
        <v>333.33333333333337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10D-91F7-314A-A409-58D7DF71C125}">
  <dimension ref="A1:I38"/>
  <sheetViews>
    <sheetView workbookViewId="0">
      <selection activeCell="B26" sqref="B26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8</v>
      </c>
      <c r="B2" t="str">
        <f>_xlfn.XLOOKUP(Day_2[[#This Row],[Glider]],Sheet1!$A$2:$A$16,Sheet1!$C$2:$C$16)</f>
        <v>Sebastian Kawa</v>
      </c>
      <c r="C2">
        <v>135.53</v>
      </c>
      <c r="D2">
        <v>542.62</v>
      </c>
      <c r="E2" t="b">
        <f>TRUE</f>
        <v>1</v>
      </c>
      <c r="F2">
        <f t="shared" ref="F2:F15" si="0">IF(E2, $B$37 * MAX(0, (C2 - 2/3*$B$23) / (1/3*$B$23)), 0)</f>
        <v>619.04761904761915</v>
      </c>
      <c r="G2" s="4">
        <f t="shared" ref="G2:G15" si="1">IF(E2, $B$38, $B$38 * (D2/$B$30))</f>
        <v>380.95238095238096</v>
      </c>
      <c r="H2" s="5">
        <f>Day_2[[#This Row],[Speed Pt]]+Day_2[[#This Row],[Dist Pt]]</f>
        <v>1000.0000000000001</v>
      </c>
      <c r="I2">
        <v>0</v>
      </c>
    </row>
    <row r="3" spans="1:9" x14ac:dyDescent="0.2">
      <c r="A3" t="s">
        <v>6</v>
      </c>
      <c r="B3" t="str">
        <f>_xlfn.XLOOKUP(Day_2[[#This Row],[Glider]],Sheet1!$A$2:$A$16,Sheet1!$C$2:$C$16)</f>
        <v>Felipe Levin</v>
      </c>
      <c r="C3">
        <v>131.57</v>
      </c>
      <c r="D3">
        <v>542.62</v>
      </c>
      <c r="E3" t="b">
        <f>TRUE</f>
        <v>1</v>
      </c>
      <c r="F3">
        <f t="shared" si="0"/>
        <v>564.78446170765221</v>
      </c>
      <c r="G3">
        <f t="shared" si="1"/>
        <v>380.95238095238096</v>
      </c>
      <c r="H3" s="5">
        <f>Day_2[[#This Row],[Speed Pt]]+Day_2[[#This Row],[Dist Pt]]</f>
        <v>945.73684266003318</v>
      </c>
      <c r="I3">
        <v>0</v>
      </c>
    </row>
    <row r="4" spans="1:9" x14ac:dyDescent="0.2">
      <c r="A4" t="s">
        <v>7</v>
      </c>
      <c r="B4" t="str">
        <f>_xlfn.XLOOKUP(Day_2[[#This Row],[Glider]],Sheet1!$A$2:$A$16,Sheet1!$C$2:$C$16)</f>
        <v>Michael Sommer</v>
      </c>
      <c r="C4">
        <v>130.38</v>
      </c>
      <c r="D4">
        <v>542.62</v>
      </c>
      <c r="E4" t="b">
        <f>TRUE</f>
        <v>1</v>
      </c>
      <c r="F4">
        <f t="shared" si="0"/>
        <v>548.47810887064202</v>
      </c>
      <c r="G4">
        <f t="shared" si="1"/>
        <v>380.95238095238096</v>
      </c>
      <c r="H4" s="5">
        <f>Day_2[[#This Row],[Speed Pt]]+Day_2[[#This Row],[Dist Pt]]</f>
        <v>929.43048982302298</v>
      </c>
      <c r="I4">
        <v>0</v>
      </c>
    </row>
    <row r="5" spans="1:9" x14ac:dyDescent="0.2">
      <c r="A5" t="s">
        <v>9</v>
      </c>
      <c r="B5" t="str">
        <f>_xlfn.XLOOKUP(Day_2[[#This Row],[Glider]],Sheet1!$A$2:$A$16,Sheet1!$C$2:$C$16)</f>
        <v>Tomas Rendla</v>
      </c>
      <c r="C5">
        <v>129.41</v>
      </c>
      <c r="D5">
        <v>542.62</v>
      </c>
      <c r="E5" t="b">
        <f>TRUE</f>
        <v>1</v>
      </c>
      <c r="F5">
        <f t="shared" si="0"/>
        <v>535.18637588585216</v>
      </c>
      <c r="G5">
        <f t="shared" si="1"/>
        <v>380.95238095238096</v>
      </c>
      <c r="H5" s="5">
        <f>Day_2[[#This Row],[Speed Pt]]+Day_2[[#This Row],[Dist Pt]]</f>
        <v>916.13875683823312</v>
      </c>
      <c r="I5">
        <v>0</v>
      </c>
    </row>
    <row r="6" spans="1:9" x14ac:dyDescent="0.2">
      <c r="A6" t="s">
        <v>11</v>
      </c>
      <c r="B6" t="str">
        <f>_xlfn.XLOOKUP(Day_2[[#This Row],[Glider]],Sheet1!$A$2:$A$16,Sheet1!$C$2:$C$16)</f>
        <v>Russell Cheetham</v>
      </c>
      <c r="C6">
        <v>128.52000000000001</v>
      </c>
      <c r="D6">
        <v>542.62</v>
      </c>
      <c r="E6" t="b">
        <f>TRUE</f>
        <v>1</v>
      </c>
      <c r="F6">
        <f t="shared" si="0"/>
        <v>522.9908683018698</v>
      </c>
      <c r="G6">
        <f t="shared" si="1"/>
        <v>380.95238095238096</v>
      </c>
      <c r="H6" s="5">
        <f>Day_2[[#This Row],[Speed Pt]]+Day_2[[#This Row],[Dist Pt]]</f>
        <v>903.94324925425076</v>
      </c>
      <c r="I6">
        <v>0</v>
      </c>
    </row>
    <row r="7" spans="1:9" x14ac:dyDescent="0.2">
      <c r="A7" s="3" t="s">
        <v>41</v>
      </c>
      <c r="B7" t="str">
        <f>_xlfn.XLOOKUP(Day_2[[#This Row],[Glider]],Sheet1!$A$2:$A$16,Sheet1!$C$2:$C$16)</f>
        <v>Sylvain Gerbaud</v>
      </c>
      <c r="C7">
        <v>122.35</v>
      </c>
      <c r="D7">
        <v>542.62</v>
      </c>
      <c r="E7" t="b">
        <f>TRUE</f>
        <v>1</v>
      </c>
      <c r="F7">
        <f t="shared" si="0"/>
        <v>438.44448426459792</v>
      </c>
      <c r="G7">
        <f t="shared" si="1"/>
        <v>380.95238095238096</v>
      </c>
      <c r="H7" s="5">
        <f>Day_2[[#This Row],[Speed Pt]]+Day_2[[#This Row],[Dist Pt]]</f>
        <v>819.39686521697888</v>
      </c>
      <c r="I7">
        <v>0</v>
      </c>
    </row>
    <row r="8" spans="1:9" x14ac:dyDescent="0.2">
      <c r="A8" t="s">
        <v>12</v>
      </c>
      <c r="B8" t="str">
        <f>_xlfn.XLOOKUP(Day_2[[#This Row],[Glider]],Sheet1!$A$2:$A$16,Sheet1!$C$2:$C$16)</f>
        <v>Max Leenders</v>
      </c>
      <c r="C8">
        <v>119.47</v>
      </c>
      <c r="D8">
        <v>542.62</v>
      </c>
      <c r="E8" t="b">
        <f>TRUE</f>
        <v>1</v>
      </c>
      <c r="F8">
        <f t="shared" si="0"/>
        <v>398.98036983553118</v>
      </c>
      <c r="G8">
        <f t="shared" si="1"/>
        <v>380.95238095238096</v>
      </c>
      <c r="H8" s="5">
        <f>Day_2[[#This Row],[Speed Pt]]+Day_2[[#This Row],[Dist Pt]]</f>
        <v>779.93275078791214</v>
      </c>
      <c r="I8">
        <v>0</v>
      </c>
    </row>
    <row r="9" spans="1:9" x14ac:dyDescent="0.2">
      <c r="A9" t="s">
        <v>10</v>
      </c>
      <c r="B9" t="str">
        <f>_xlfn.XLOOKUP(Day_2[[#This Row],[Glider]],Sheet1!$A$2:$A$16,Sheet1!$C$2:$C$16)</f>
        <v>Pierre de Broqueville</v>
      </c>
      <c r="C9">
        <v>117.61</v>
      </c>
      <c r="D9">
        <v>542.62</v>
      </c>
      <c r="E9" t="b">
        <f>TRUE</f>
        <v>1</v>
      </c>
      <c r="F9">
        <f t="shared" si="0"/>
        <v>373.49312926675884</v>
      </c>
      <c r="G9">
        <f t="shared" si="1"/>
        <v>380.95238095238096</v>
      </c>
      <c r="H9" s="5">
        <f>Day_2[[#This Row],[Speed Pt]]+Day_2[[#This Row],[Dist Pt]]</f>
        <v>754.44551021913981</v>
      </c>
      <c r="I9">
        <v>0</v>
      </c>
    </row>
    <row r="10" spans="1:9" x14ac:dyDescent="0.2">
      <c r="A10" s="3" t="s">
        <v>40</v>
      </c>
      <c r="B10" t="str">
        <f>_xlfn.XLOOKUP(Day_2[[#This Row],[Glider]],Sheet1!$A$2:$A$16,Sheet1!$C$2:$C$16)</f>
        <v>Laurent Aboulin</v>
      </c>
      <c r="C10">
        <v>117.52</v>
      </c>
      <c r="D10">
        <v>542.62</v>
      </c>
      <c r="E10" t="b">
        <f>TRUE</f>
        <v>1</v>
      </c>
      <c r="F10">
        <f t="shared" si="0"/>
        <v>372.25987569085049</v>
      </c>
      <c r="G10">
        <f t="shared" si="1"/>
        <v>380.95238095238096</v>
      </c>
      <c r="H10" s="5">
        <f>Day_2[[#This Row],[Speed Pt]]+Day_2[[#This Row],[Dist Pt]]</f>
        <v>753.21225664323151</v>
      </c>
      <c r="I10">
        <v>0</v>
      </c>
    </row>
    <row r="11" spans="1:9" x14ac:dyDescent="0.2">
      <c r="A11" t="s">
        <v>16</v>
      </c>
      <c r="B11" t="str">
        <f>_xlfn.XLOOKUP(Day_2[[#This Row],[Glider]],Sheet1!$A$2:$A$16,Sheet1!$C$2:$C$16)</f>
        <v>Christian Hynek</v>
      </c>
      <c r="C11">
        <v>117.37</v>
      </c>
      <c r="D11">
        <v>542.62</v>
      </c>
      <c r="E11" t="b">
        <f>TRUE</f>
        <v>1</v>
      </c>
      <c r="F11">
        <f t="shared" si="0"/>
        <v>370.20445306433669</v>
      </c>
      <c r="G11">
        <f t="shared" si="1"/>
        <v>380.95238095238096</v>
      </c>
      <c r="H11" s="5">
        <f>Day_2[[#This Row],[Speed Pt]]+Day_2[[#This Row],[Dist Pt]]</f>
        <v>751.15683401671765</v>
      </c>
      <c r="I11">
        <v>0</v>
      </c>
    </row>
    <row r="12" spans="1:9" x14ac:dyDescent="0.2">
      <c r="A12" t="s">
        <v>13</v>
      </c>
      <c r="B12" t="str">
        <f>_xlfn.XLOOKUP(Day_2[[#This Row],[Glider]],Sheet1!$A$2:$A$16,Sheet1!$C$2:$C$16)</f>
        <v>Jiri Kusbach</v>
      </c>
      <c r="C12">
        <v>116.47</v>
      </c>
      <c r="D12">
        <v>542.62</v>
      </c>
      <c r="E12" t="b">
        <f>TRUE</f>
        <v>1</v>
      </c>
      <c r="F12">
        <f t="shared" si="0"/>
        <v>357.87191730525325</v>
      </c>
      <c r="G12">
        <f t="shared" si="1"/>
        <v>380.95238095238096</v>
      </c>
      <c r="H12" s="5">
        <f>Day_2[[#This Row],[Speed Pt]]+Day_2[[#This Row],[Dist Pt]]</f>
        <v>738.82429825763415</v>
      </c>
      <c r="I12">
        <v>0</v>
      </c>
    </row>
    <row r="13" spans="1:9" x14ac:dyDescent="0.2">
      <c r="A13" t="s">
        <v>17</v>
      </c>
      <c r="B13" t="str">
        <f>_xlfn.XLOOKUP(Day_2[[#This Row],[Glider]],Sheet1!$A$2:$A$16,Sheet1!$C$2:$C$16)</f>
        <v>David Jansen</v>
      </c>
      <c r="C13">
        <v>116.26</v>
      </c>
      <c r="D13">
        <v>542.62</v>
      </c>
      <c r="E13" t="b">
        <f>TRUE</f>
        <v>1</v>
      </c>
      <c r="F13">
        <f t="shared" si="0"/>
        <v>354.99432562813388</v>
      </c>
      <c r="G13">
        <f t="shared" si="1"/>
        <v>380.95238095238096</v>
      </c>
      <c r="H13" s="5">
        <f>Day_2[[#This Row],[Speed Pt]]+Day_2[[#This Row],[Dist Pt]]</f>
        <v>735.94670658051484</v>
      </c>
      <c r="I13">
        <v>0</v>
      </c>
    </row>
    <row r="14" spans="1:9" x14ac:dyDescent="0.2">
      <c r="A14" t="s">
        <v>15</v>
      </c>
      <c r="B14" t="str">
        <f>_xlfn.XLOOKUP(Day_2[[#This Row],[Glider]],Sheet1!$A$2:$A$16,Sheet1!$C$2:$C$16)</f>
        <v>Oscar Goudriaan</v>
      </c>
      <c r="C14">
        <v>116.03</v>
      </c>
      <c r="D14">
        <v>542.62</v>
      </c>
      <c r="E14" t="b">
        <f>TRUE</f>
        <v>1</v>
      </c>
      <c r="F14">
        <f t="shared" si="0"/>
        <v>351.84267760081246</v>
      </c>
      <c r="G14">
        <f t="shared" si="1"/>
        <v>380.95238095238096</v>
      </c>
      <c r="H14" s="5">
        <f>Day_2[[#This Row],[Speed Pt]]+Day_2[[#This Row],[Dist Pt]]</f>
        <v>732.79505855319348</v>
      </c>
      <c r="I14">
        <v>0</v>
      </c>
    </row>
    <row r="15" spans="1:9" x14ac:dyDescent="0.2">
      <c r="A15" t="s">
        <v>14</v>
      </c>
      <c r="B15" t="str">
        <f>_xlfn.XLOOKUP(Day_2[[#This Row],[Glider]],Sheet1!$A$2:$A$16,Sheet1!$C$2:$C$16)</f>
        <v>Bas Seijffert</v>
      </c>
      <c r="D15">
        <v>505.85</v>
      </c>
      <c r="E15" t="b">
        <f>FALSE</f>
        <v>0</v>
      </c>
      <c r="F15">
        <f t="shared" si="0"/>
        <v>0</v>
      </c>
      <c r="G15">
        <f t="shared" si="1"/>
        <v>355.13759519509404</v>
      </c>
      <c r="H15" s="5">
        <f>Day_2[[#This Row],[Speed Pt]]+Day_2[[#This Row],[Dist Pt]]</f>
        <v>355.13759519509404</v>
      </c>
      <c r="I15">
        <v>0</v>
      </c>
    </row>
    <row r="16" spans="1:9" x14ac:dyDescent="0.2">
      <c r="A16" s="1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135.53</v>
      </c>
    </row>
    <row r="24" spans="1:2" x14ac:dyDescent="0.2">
      <c r="A24" t="s">
        <v>45</v>
      </c>
      <c r="B24">
        <f>D2/C2*3600</f>
        <v>14413.281192355937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13</v>
      </c>
    </row>
    <row r="30" spans="1:2" x14ac:dyDescent="0.2">
      <c r="A30" t="s">
        <v>50</v>
      </c>
      <c r="B30">
        <f>MAX(D2:D15)</f>
        <v>542.62</v>
      </c>
    </row>
    <row r="32" spans="1:2" ht="17" x14ac:dyDescent="0.25">
      <c r="A32" t="s">
        <v>51</v>
      </c>
      <c r="B32" s="4">
        <f xml:space="preserve"> 1250 * (B30/B22) - 250</f>
        <v>1687.9285714285716</v>
      </c>
    </row>
    <row r="33" spans="1:2" x14ac:dyDescent="0.2">
      <c r="A33" t="s">
        <v>52</v>
      </c>
      <c r="B33">
        <f xml:space="preserve"> IF(B24&lt;=0, 1000, (400*B24/3600) - 200)</f>
        <v>1401.4756880395485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619.04761904761904</v>
      </c>
    </row>
    <row r="38" spans="1:2" x14ac:dyDescent="0.2">
      <c r="A38" t="s">
        <v>57</v>
      </c>
      <c r="B38">
        <f>B34-B37</f>
        <v>380.95238095238096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07C4-E6B5-9B4B-A4FE-6B0ADC427F79}">
  <dimension ref="A1:I38"/>
  <sheetViews>
    <sheetView workbookViewId="0">
      <selection activeCell="B28" sqref="B28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s="3" t="s">
        <v>41</v>
      </c>
      <c r="B2" t="str">
        <f>_xlfn.XLOOKUP(Day_3[[#This Row],[Glider]],Sheet1!$A$2:$A$16,Sheet1!$C$2:$C$16)</f>
        <v>Sylvain Gerbaud</v>
      </c>
      <c r="C2">
        <v>128.77000000000001</v>
      </c>
      <c r="D2">
        <v>334.49</v>
      </c>
      <c r="E2" t="b">
        <f>TRUE</f>
        <v>1</v>
      </c>
      <c r="F2">
        <f t="shared" ref="F2:F14" si="0">IF(E2, $B$37 * MAX(0, (C2 - 2/3*$B$23) / (1/3*$B$23)), 0)</f>
        <v>519.40003771952206</v>
      </c>
      <c r="G2" s="4">
        <f t="shared" ref="G2:G14" si="1">IF(E2, $B$38, $B$38 * (D2/$B$30))</f>
        <v>319.63079244278276</v>
      </c>
      <c r="H2" s="5">
        <f>Day_3[[#This Row],[Speed Pt]]+Day_3[[#This Row],[Dist Pt]]</f>
        <v>839.03083016230482</v>
      </c>
      <c r="I2">
        <v>0</v>
      </c>
    </row>
    <row r="3" spans="1:9" x14ac:dyDescent="0.2">
      <c r="A3" t="s">
        <v>8</v>
      </c>
      <c r="B3" t="str">
        <f>_xlfn.XLOOKUP(Day_3[[#This Row],[Glider]],Sheet1!$A$2:$A$16,Sheet1!$C$2:$C$16)</f>
        <v>Sebastian Kawa</v>
      </c>
      <c r="C3">
        <v>126.97</v>
      </c>
      <c r="D3">
        <v>328.07</v>
      </c>
      <c r="E3" t="b">
        <f>TRUE</f>
        <v>1</v>
      </c>
      <c r="F3">
        <f t="shared" si="0"/>
        <v>497.61887592962199</v>
      </c>
      <c r="G3">
        <f t="shared" si="1"/>
        <v>319.63079244278276</v>
      </c>
      <c r="H3" s="5">
        <f>Day_3[[#This Row],[Speed Pt]]+Day_3[[#This Row],[Dist Pt]]</f>
        <v>817.24966837240481</v>
      </c>
      <c r="I3">
        <v>0</v>
      </c>
    </row>
    <row r="4" spans="1:9" x14ac:dyDescent="0.2">
      <c r="A4" s="3" t="s">
        <v>40</v>
      </c>
      <c r="B4" t="str">
        <f>_xlfn.XLOOKUP(Day_3[[#This Row],[Glider]],Sheet1!$A$2:$A$16,Sheet1!$C$2:$C$16)</f>
        <v>Laurent Aboulin</v>
      </c>
      <c r="C4">
        <v>126.93</v>
      </c>
      <c r="D4">
        <v>335.02</v>
      </c>
      <c r="E4" t="b">
        <f>TRUE</f>
        <v>1</v>
      </c>
      <c r="F4">
        <f t="shared" si="0"/>
        <v>497.13485011206882</v>
      </c>
      <c r="G4">
        <f t="shared" si="1"/>
        <v>319.63079244278276</v>
      </c>
      <c r="H4" s="5">
        <f>Day_3[[#This Row],[Speed Pt]]+Day_3[[#This Row],[Dist Pt]]</f>
        <v>816.76564255485164</v>
      </c>
      <c r="I4">
        <v>0</v>
      </c>
    </row>
    <row r="5" spans="1:9" x14ac:dyDescent="0.2">
      <c r="A5" t="s">
        <v>6</v>
      </c>
      <c r="B5" t="str">
        <f>_xlfn.XLOOKUP(Day_3[[#This Row],[Glider]],Sheet1!$A$2:$A$16,Sheet1!$C$2:$C$16)</f>
        <v>Felipe Levin</v>
      </c>
      <c r="C5">
        <v>124.5</v>
      </c>
      <c r="D5">
        <v>337.1</v>
      </c>
      <c r="E5" t="b">
        <f>TRUE</f>
        <v>1</v>
      </c>
      <c r="F5">
        <f t="shared" si="0"/>
        <v>467.73028169570375</v>
      </c>
      <c r="G5">
        <f t="shared" si="1"/>
        <v>319.63079244278276</v>
      </c>
      <c r="H5" s="5">
        <f>Day_3[[#This Row],[Speed Pt]]+Day_3[[#This Row],[Dist Pt]]</f>
        <v>787.36107413848652</v>
      </c>
      <c r="I5">
        <v>0</v>
      </c>
    </row>
    <row r="6" spans="1:9" x14ac:dyDescent="0.2">
      <c r="A6" t="s">
        <v>7</v>
      </c>
      <c r="B6" t="str">
        <f>_xlfn.XLOOKUP(Day_3[[#This Row],[Glider]],Sheet1!$A$2:$A$16,Sheet1!$C$2:$C$16)</f>
        <v>Michael Sommer</v>
      </c>
      <c r="C6">
        <v>124.39</v>
      </c>
      <c r="D6">
        <v>336.85</v>
      </c>
      <c r="E6" t="b">
        <f>TRUE</f>
        <v>1</v>
      </c>
      <c r="F6">
        <f t="shared" si="0"/>
        <v>466.39921069743207</v>
      </c>
      <c r="G6">
        <f t="shared" si="1"/>
        <v>319.63079244278276</v>
      </c>
      <c r="H6" s="5">
        <f>Day_3[[#This Row],[Speed Pt]]+Day_3[[#This Row],[Dist Pt]]</f>
        <v>786.03000314021483</v>
      </c>
      <c r="I6">
        <v>0</v>
      </c>
    </row>
    <row r="7" spans="1:9" x14ac:dyDescent="0.2">
      <c r="A7" t="s">
        <v>15</v>
      </c>
      <c r="B7" t="str">
        <f>_xlfn.XLOOKUP(Day_3[[#This Row],[Glider]],Sheet1!$A$2:$A$16,Sheet1!$C$2:$C$16)</f>
        <v>Oscar Goudriaan</v>
      </c>
      <c r="C7">
        <v>123.98</v>
      </c>
      <c r="D7">
        <v>320.20999999999998</v>
      </c>
      <c r="E7" t="b">
        <f>TRUE</f>
        <v>1</v>
      </c>
      <c r="F7">
        <f t="shared" si="0"/>
        <v>461.4379460675105</v>
      </c>
      <c r="G7">
        <f t="shared" si="1"/>
        <v>319.63079244278276</v>
      </c>
      <c r="H7" s="5">
        <f>Day_3[[#This Row],[Speed Pt]]+Day_3[[#This Row],[Dist Pt]]</f>
        <v>781.06873851029331</v>
      </c>
      <c r="I7">
        <v>0</v>
      </c>
    </row>
    <row r="8" spans="1:9" x14ac:dyDescent="0.2">
      <c r="A8" t="s">
        <v>11</v>
      </c>
      <c r="B8" t="str">
        <f>_xlfn.XLOOKUP(Day_3[[#This Row],[Glider]],Sheet1!$A$2:$A$16,Sheet1!$C$2:$C$16)</f>
        <v>Russell Cheetham</v>
      </c>
      <c r="C8">
        <v>121.34</v>
      </c>
      <c r="D8">
        <v>303.33999999999997</v>
      </c>
      <c r="E8" t="b">
        <f>TRUE</f>
        <v>1</v>
      </c>
      <c r="F8">
        <f t="shared" si="0"/>
        <v>429.49224210899052</v>
      </c>
      <c r="G8">
        <f t="shared" si="1"/>
        <v>319.63079244278276</v>
      </c>
      <c r="H8" s="5">
        <f>Day_3[[#This Row],[Speed Pt]]+Day_3[[#This Row],[Dist Pt]]</f>
        <v>749.12303455177334</v>
      </c>
      <c r="I8">
        <v>0</v>
      </c>
    </row>
    <row r="9" spans="1:9" x14ac:dyDescent="0.2">
      <c r="A9" t="s">
        <v>9</v>
      </c>
      <c r="B9" t="str">
        <f>_xlfn.XLOOKUP(Day_3[[#This Row],[Glider]],Sheet1!$A$2:$A$16,Sheet1!$C$2:$C$16)</f>
        <v>Tomas Rendla</v>
      </c>
      <c r="C9">
        <v>119.75</v>
      </c>
      <c r="D9">
        <v>321.58</v>
      </c>
      <c r="E9" t="b">
        <f>TRUE</f>
        <v>1</v>
      </c>
      <c r="F9">
        <f t="shared" si="0"/>
        <v>410.25221586124553</v>
      </c>
      <c r="G9">
        <f t="shared" si="1"/>
        <v>319.63079244278276</v>
      </c>
      <c r="H9" s="5">
        <f>Day_3[[#This Row],[Speed Pt]]+Day_3[[#This Row],[Dist Pt]]</f>
        <v>729.88300830402829</v>
      </c>
      <c r="I9">
        <v>0</v>
      </c>
    </row>
    <row r="10" spans="1:9" x14ac:dyDescent="0.2">
      <c r="A10" t="s">
        <v>14</v>
      </c>
      <c r="B10" t="str">
        <f>_xlfn.XLOOKUP(Day_3[[#This Row],[Glider]],Sheet1!$A$2:$A$16,Sheet1!$C$2:$C$16)</f>
        <v>Bas Seijffert</v>
      </c>
      <c r="C10">
        <v>118.91</v>
      </c>
      <c r="D10">
        <v>307.62</v>
      </c>
      <c r="E10" t="b">
        <f>TRUE</f>
        <v>1</v>
      </c>
      <c r="F10">
        <f t="shared" si="0"/>
        <v>400.08767369262546</v>
      </c>
      <c r="G10">
        <f t="shared" si="1"/>
        <v>319.63079244278276</v>
      </c>
      <c r="H10" s="5">
        <f>Day_3[[#This Row],[Speed Pt]]+Day_3[[#This Row],[Dist Pt]]</f>
        <v>719.71846613540822</v>
      </c>
      <c r="I10">
        <v>0</v>
      </c>
    </row>
    <row r="11" spans="1:9" x14ac:dyDescent="0.2">
      <c r="A11" t="s">
        <v>12</v>
      </c>
      <c r="B11" t="str">
        <f>_xlfn.XLOOKUP(Day_3[[#This Row],[Glider]],Sheet1!$A$2:$A$16,Sheet1!$C$2:$C$16)</f>
        <v>Max Leenders</v>
      </c>
      <c r="C11">
        <v>118.62</v>
      </c>
      <c r="D11">
        <v>302.23</v>
      </c>
      <c r="E11" t="b">
        <f>TRUE</f>
        <v>1</v>
      </c>
      <c r="F11">
        <f t="shared" si="0"/>
        <v>396.57848651536386</v>
      </c>
      <c r="G11">
        <f t="shared" si="1"/>
        <v>319.63079244278276</v>
      </c>
      <c r="H11" s="5">
        <f>Day_3[[#This Row],[Speed Pt]]+Day_3[[#This Row],[Dist Pt]]</f>
        <v>716.20927895814657</v>
      </c>
      <c r="I11">
        <v>0</v>
      </c>
    </row>
    <row r="12" spans="1:9" x14ac:dyDescent="0.2">
      <c r="A12" t="s">
        <v>10</v>
      </c>
      <c r="B12" t="str">
        <f>_xlfn.XLOOKUP(Day_3[[#This Row],[Glider]],Sheet1!$A$2:$A$16,Sheet1!$C$2:$C$16)</f>
        <v>Pierre de Broqueville</v>
      </c>
      <c r="C12">
        <v>118.32</v>
      </c>
      <c r="D12">
        <v>305.98</v>
      </c>
      <c r="E12" t="b">
        <f>TRUE</f>
        <v>1</v>
      </c>
      <c r="F12">
        <f t="shared" si="0"/>
        <v>392.94829288371375</v>
      </c>
      <c r="G12">
        <f t="shared" si="1"/>
        <v>319.63079244278276</v>
      </c>
      <c r="H12" s="5">
        <f>Day_3[[#This Row],[Speed Pt]]+Day_3[[#This Row],[Dist Pt]]</f>
        <v>712.57908532649651</v>
      </c>
      <c r="I12">
        <v>0</v>
      </c>
    </row>
    <row r="13" spans="1:9" x14ac:dyDescent="0.2">
      <c r="A13" t="s">
        <v>13</v>
      </c>
      <c r="B13" t="str">
        <f>_xlfn.XLOOKUP(Day_3[[#This Row],[Glider]],Sheet1!$A$2:$A$16,Sheet1!$C$2:$C$16)</f>
        <v>Jiri Kusbach</v>
      </c>
      <c r="C13">
        <v>117.02</v>
      </c>
      <c r="D13">
        <v>317.25</v>
      </c>
      <c r="E13" t="b">
        <f>TRUE</f>
        <v>1</v>
      </c>
      <c r="F13">
        <f t="shared" si="0"/>
        <v>377.21745381323052</v>
      </c>
      <c r="G13">
        <f t="shared" si="1"/>
        <v>319.63079244278276</v>
      </c>
      <c r="H13" s="5">
        <f>Day_3[[#This Row],[Speed Pt]]+Day_3[[#This Row],[Dist Pt]]</f>
        <v>696.84824625601323</v>
      </c>
      <c r="I13">
        <v>0</v>
      </c>
    </row>
    <row r="14" spans="1:9" x14ac:dyDescent="0.2">
      <c r="A14" t="s">
        <v>16</v>
      </c>
      <c r="B14" t="str">
        <f>_xlfn.XLOOKUP(Day_3[[#This Row],[Glider]],Sheet1!$A$2:$A$16,Sheet1!$C$2:$C$16)</f>
        <v>Christian Hynek</v>
      </c>
      <c r="C14">
        <v>109.7</v>
      </c>
      <c r="D14">
        <v>291.93</v>
      </c>
      <c r="E14" t="b">
        <f>TRUE</f>
        <v>1</v>
      </c>
      <c r="F14">
        <f t="shared" si="0"/>
        <v>288.64072920097072</v>
      </c>
      <c r="G14">
        <f t="shared" si="1"/>
        <v>319.63079244278276</v>
      </c>
      <c r="H14" s="5">
        <f>Day_3[[#This Row],[Speed Pt]]+Day_3[[#This Row],[Dist Pt]]</f>
        <v>608.27152164375343</v>
      </c>
      <c r="I14">
        <v>0</v>
      </c>
    </row>
    <row r="15" spans="1:9" x14ac:dyDescent="0.2">
      <c r="A15" t="s">
        <v>17</v>
      </c>
      <c r="B15" t="str">
        <f>_xlfn.XLOOKUP(Day_3[[#This Row],[Glider]],Sheet1!$A$2:$A$16,Sheet1!$C$2:$C$16)</f>
        <v>David Jansen</v>
      </c>
      <c r="D15">
        <v>0</v>
      </c>
      <c r="H15" s="5"/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128.77000000000001</v>
      </c>
    </row>
    <row r="24" spans="1:2" x14ac:dyDescent="0.2">
      <c r="A24" t="s">
        <v>45</v>
      </c>
      <c r="B24">
        <f>D2/C2*3600</f>
        <v>9351.2774714607422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13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13</v>
      </c>
    </row>
    <row r="30" spans="1:2" x14ac:dyDescent="0.2">
      <c r="A30" t="s">
        <v>50</v>
      </c>
      <c r="B30">
        <f>MAX(D2:D15)</f>
        <v>337.1</v>
      </c>
    </row>
    <row r="32" spans="1:2" ht="17" x14ac:dyDescent="0.25">
      <c r="A32" t="s">
        <v>51</v>
      </c>
      <c r="B32" s="4">
        <f xml:space="preserve"> 1250 * (B30/B22) - 250</f>
        <v>953.92857142857156</v>
      </c>
    </row>
    <row r="33" spans="1:2" x14ac:dyDescent="0.2">
      <c r="A33" t="s">
        <v>52</v>
      </c>
      <c r="B33">
        <f xml:space="preserve"> IF(B24&lt;=0, 1000, (400*B24/3600) - 200)</f>
        <v>839.03083016230471</v>
      </c>
    </row>
    <row r="34" spans="1:2" x14ac:dyDescent="0.2">
      <c r="A34" t="s">
        <v>53</v>
      </c>
      <c r="B34">
        <f>MIN(B32,B33,1000)</f>
        <v>839.03083016230471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519.40003771952195</v>
      </c>
    </row>
    <row r="38" spans="1:2" x14ac:dyDescent="0.2">
      <c r="A38" t="s">
        <v>57</v>
      </c>
      <c r="B38">
        <f>B34-B37</f>
        <v>319.63079244278276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DC33-BAB0-994B-A506-592A9CFC99C9}">
  <dimension ref="A1:I38"/>
  <sheetViews>
    <sheetView workbookViewId="0">
      <selection activeCell="A15" sqref="A15:XFD15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6</v>
      </c>
      <c r="B2" t="str">
        <f>_xlfn.XLOOKUP(Day_4[[#This Row],[Glider]],Sheet1!$A$2:$A$16,Sheet1!$C$2:$C$16)</f>
        <v>Felipe Levin</v>
      </c>
      <c r="C2">
        <v>122.63</v>
      </c>
      <c r="D2">
        <v>562.67999999999995</v>
      </c>
      <c r="E2" t="b">
        <f>TRUE</f>
        <v>1</v>
      </c>
      <c r="F2">
        <f t="shared" ref="F2:F14" si="0">IF(E2, $B$37 * MAX(0, (C2 - 2/3*$B$23) / (1/3*$B$23)), 0)</f>
        <v>666.66666666666663</v>
      </c>
      <c r="G2" s="4">
        <f t="shared" ref="G2:G14" si="1">IF(E2, $B$38, $B$38 * (D2/$B$30))</f>
        <v>333.33333333333337</v>
      </c>
      <c r="H2" s="5">
        <f>Day_4[[#This Row],[Speed Pt]]+Day_4[[#This Row],[Dist Pt]]</f>
        <v>1000</v>
      </c>
      <c r="I2">
        <v>0</v>
      </c>
    </row>
    <row r="3" spans="1:9" x14ac:dyDescent="0.2">
      <c r="A3" t="s">
        <v>8</v>
      </c>
      <c r="B3" t="str">
        <f>_xlfn.XLOOKUP(Day_4[[#This Row],[Glider]],Sheet1!$A$2:$A$16,Sheet1!$C$2:$C$16)</f>
        <v>Sebastian Kawa</v>
      </c>
      <c r="C3">
        <v>122.55</v>
      </c>
      <c r="D3">
        <v>562.67999999999995</v>
      </c>
      <c r="E3" t="b">
        <f>TRUE</f>
        <v>1</v>
      </c>
      <c r="F3">
        <f t="shared" si="0"/>
        <v>665.36192883742422</v>
      </c>
      <c r="G3">
        <f t="shared" si="1"/>
        <v>333.33333333333337</v>
      </c>
      <c r="H3" s="5">
        <f>Day_4[[#This Row],[Speed Pt]]+Day_4[[#This Row],[Dist Pt]]</f>
        <v>998.69526217075759</v>
      </c>
      <c r="I3">
        <v>0</v>
      </c>
    </row>
    <row r="4" spans="1:9" x14ac:dyDescent="0.2">
      <c r="A4" t="s">
        <v>7</v>
      </c>
      <c r="B4" t="str">
        <f>_xlfn.XLOOKUP(Day_4[[#This Row],[Glider]],Sheet1!$A$2:$A$16,Sheet1!$C$2:$C$16)</f>
        <v>Michael Sommer</v>
      </c>
      <c r="C4">
        <v>122.37</v>
      </c>
      <c r="D4">
        <v>562.67999999999995</v>
      </c>
      <c r="E4" t="b">
        <f>TRUE</f>
        <v>1</v>
      </c>
      <c r="F4">
        <f t="shared" si="0"/>
        <v>662.42626872162884</v>
      </c>
      <c r="G4">
        <f t="shared" si="1"/>
        <v>333.33333333333337</v>
      </c>
      <c r="H4" s="5">
        <f>Day_4[[#This Row],[Speed Pt]]+Day_4[[#This Row],[Dist Pt]]</f>
        <v>995.75960205496222</v>
      </c>
      <c r="I4">
        <v>0</v>
      </c>
    </row>
    <row r="5" spans="1:9" x14ac:dyDescent="0.2">
      <c r="A5" s="3" t="s">
        <v>41</v>
      </c>
      <c r="B5" t="str">
        <f>_xlfn.XLOOKUP(Day_4[[#This Row],[Glider]],Sheet1!$A$2:$A$16,Sheet1!$C$2:$C$16)</f>
        <v>Sylvain Gerbaud</v>
      </c>
      <c r="C5">
        <v>115.97</v>
      </c>
      <c r="D5">
        <v>562.67999999999995</v>
      </c>
      <c r="E5" t="b">
        <f>TRUE</f>
        <v>1</v>
      </c>
      <c r="F5">
        <f t="shared" si="0"/>
        <v>558.04724238223389</v>
      </c>
      <c r="G5">
        <f t="shared" si="1"/>
        <v>333.33333333333337</v>
      </c>
      <c r="H5" s="5">
        <f>Day_4[[#This Row],[Speed Pt]]+Day_4[[#This Row],[Dist Pt]]</f>
        <v>891.38057571556726</v>
      </c>
      <c r="I5">
        <v>0</v>
      </c>
    </row>
    <row r="6" spans="1:9" x14ac:dyDescent="0.2">
      <c r="A6" s="3" t="s">
        <v>40</v>
      </c>
      <c r="B6" t="str">
        <f>_xlfn.XLOOKUP(Day_4[[#This Row],[Glider]],Sheet1!$A$2:$A$16,Sheet1!$C$2:$C$16)</f>
        <v>Laurent Aboulin</v>
      </c>
      <c r="C6">
        <v>115.89</v>
      </c>
      <c r="D6">
        <v>562.67999999999995</v>
      </c>
      <c r="E6" t="b">
        <f>TRUE</f>
        <v>1</v>
      </c>
      <c r="F6">
        <f t="shared" si="0"/>
        <v>556.74250455299148</v>
      </c>
      <c r="G6">
        <f t="shared" si="1"/>
        <v>333.33333333333337</v>
      </c>
      <c r="H6" s="5">
        <f>Day_4[[#This Row],[Speed Pt]]+Day_4[[#This Row],[Dist Pt]]</f>
        <v>890.07583788632485</v>
      </c>
      <c r="I6">
        <v>0</v>
      </c>
    </row>
    <row r="7" spans="1:9" x14ac:dyDescent="0.2">
      <c r="A7" t="s">
        <v>11</v>
      </c>
      <c r="B7" t="str">
        <f>_xlfn.XLOOKUP(Day_4[[#This Row],[Glider]],Sheet1!$A$2:$A$16,Sheet1!$C$2:$C$16)</f>
        <v>Russell Cheetham</v>
      </c>
      <c r="C7">
        <v>114.08</v>
      </c>
      <c r="D7">
        <v>562.67999999999995</v>
      </c>
      <c r="E7" t="b">
        <f>TRUE</f>
        <v>1</v>
      </c>
      <c r="F7">
        <f t="shared" si="0"/>
        <v>527.22281116638135</v>
      </c>
      <c r="G7">
        <f t="shared" si="1"/>
        <v>333.33333333333337</v>
      </c>
      <c r="H7" s="5">
        <f>Day_4[[#This Row],[Speed Pt]]+Day_4[[#This Row],[Dist Pt]]</f>
        <v>860.55614449971472</v>
      </c>
      <c r="I7">
        <v>0</v>
      </c>
    </row>
    <row r="8" spans="1:9" x14ac:dyDescent="0.2">
      <c r="A8" t="s">
        <v>10</v>
      </c>
      <c r="B8" t="str">
        <f>_xlfn.XLOOKUP(Day_4[[#This Row],[Glider]],Sheet1!$A$2:$A$16,Sheet1!$C$2:$C$16)</f>
        <v>Pierre de Broqueville</v>
      </c>
      <c r="C8">
        <v>113.24</v>
      </c>
      <c r="D8">
        <v>562.67999999999995</v>
      </c>
      <c r="E8" t="b">
        <f>TRUE</f>
        <v>1</v>
      </c>
      <c r="F8">
        <f t="shared" si="0"/>
        <v>513.52306395933556</v>
      </c>
      <c r="G8">
        <f t="shared" si="1"/>
        <v>333.33333333333337</v>
      </c>
      <c r="H8" s="5">
        <f>Day_4[[#This Row],[Speed Pt]]+Day_4[[#This Row],[Dist Pt]]</f>
        <v>846.85639729266893</v>
      </c>
      <c r="I8">
        <v>0</v>
      </c>
    </row>
    <row r="9" spans="1:9" x14ac:dyDescent="0.2">
      <c r="A9" t="s">
        <v>15</v>
      </c>
      <c r="B9" t="str">
        <f>_xlfn.XLOOKUP(Day_4[[#This Row],[Glider]],Sheet1!$A$2:$A$16,Sheet1!$C$2:$C$16)</f>
        <v>Oscar Goudriaan</v>
      </c>
      <c r="C9">
        <v>113.06</v>
      </c>
      <c r="D9">
        <v>562.67999999999995</v>
      </c>
      <c r="E9" t="b">
        <f>TRUE</f>
        <v>1</v>
      </c>
      <c r="F9">
        <f t="shared" si="0"/>
        <v>510.58740384354024</v>
      </c>
      <c r="G9">
        <f t="shared" si="1"/>
        <v>333.33333333333337</v>
      </c>
      <c r="H9" s="5">
        <f>Day_4[[#This Row],[Speed Pt]]+Day_4[[#This Row],[Dist Pt]]</f>
        <v>843.92073717687367</v>
      </c>
      <c r="I9">
        <v>0</v>
      </c>
    </row>
    <row r="10" spans="1:9" x14ac:dyDescent="0.2">
      <c r="A10" t="s">
        <v>12</v>
      </c>
      <c r="B10" t="str">
        <f>_xlfn.XLOOKUP(Day_4[[#This Row],[Glider]],Sheet1!$A$2:$A$16,Sheet1!$C$2:$C$16)</f>
        <v>Max Leenders</v>
      </c>
      <c r="C10">
        <v>109.96</v>
      </c>
      <c r="D10">
        <v>562.67999999999995</v>
      </c>
      <c r="E10" t="b">
        <f>TRUE</f>
        <v>1</v>
      </c>
      <c r="F10">
        <f t="shared" si="0"/>
        <v>460.02881296039567</v>
      </c>
      <c r="G10">
        <f t="shared" si="1"/>
        <v>333.33333333333337</v>
      </c>
      <c r="H10" s="5">
        <f>Day_4[[#This Row],[Speed Pt]]+Day_4[[#This Row],[Dist Pt]]</f>
        <v>793.36214629372898</v>
      </c>
      <c r="I10">
        <v>0</v>
      </c>
    </row>
    <row r="11" spans="1:9" x14ac:dyDescent="0.2">
      <c r="A11" t="s">
        <v>14</v>
      </c>
      <c r="B11" t="str">
        <f>_xlfn.XLOOKUP(Day_4[[#This Row],[Glider]],Sheet1!$A$2:$A$16,Sheet1!$C$2:$C$16)</f>
        <v>Bas Seijffert</v>
      </c>
      <c r="C11">
        <v>108.44</v>
      </c>
      <c r="D11">
        <v>562.67999999999995</v>
      </c>
      <c r="E11" t="b">
        <f>TRUE</f>
        <v>1</v>
      </c>
      <c r="F11">
        <f t="shared" si="0"/>
        <v>435.23879420478949</v>
      </c>
      <c r="G11">
        <f t="shared" si="1"/>
        <v>333.33333333333337</v>
      </c>
      <c r="H11" s="5">
        <f>Day_4[[#This Row],[Speed Pt]]+Day_4[[#This Row],[Dist Pt]]</f>
        <v>768.57212753812291</v>
      </c>
      <c r="I11">
        <v>0</v>
      </c>
    </row>
    <row r="12" spans="1:9" x14ac:dyDescent="0.2">
      <c r="A12" t="s">
        <v>13</v>
      </c>
      <c r="B12" t="str">
        <f>_xlfn.XLOOKUP(Day_4[[#This Row],[Glider]],Sheet1!$A$2:$A$16,Sheet1!$C$2:$C$16)</f>
        <v>Jiri Kusbach</v>
      </c>
      <c r="C12">
        <v>106.04</v>
      </c>
      <c r="D12">
        <v>562.67999999999995</v>
      </c>
      <c r="E12" t="b">
        <f>TRUE</f>
        <v>1</v>
      </c>
      <c r="F12">
        <f t="shared" si="0"/>
        <v>396.09665932751648</v>
      </c>
      <c r="G12">
        <f t="shared" si="1"/>
        <v>333.33333333333337</v>
      </c>
      <c r="H12" s="5">
        <f>Day_4[[#This Row],[Speed Pt]]+Day_4[[#This Row],[Dist Pt]]</f>
        <v>729.42999266084985</v>
      </c>
      <c r="I12">
        <v>0</v>
      </c>
    </row>
    <row r="13" spans="1:9" x14ac:dyDescent="0.2">
      <c r="A13" t="s">
        <v>16</v>
      </c>
      <c r="B13" t="str">
        <f>_xlfn.XLOOKUP(Day_4[[#This Row],[Glider]],Sheet1!$A$2:$A$16,Sheet1!$C$2:$C$16)</f>
        <v>Christian Hynek</v>
      </c>
      <c r="C13">
        <v>101.46</v>
      </c>
      <c r="D13">
        <v>562.67999999999995</v>
      </c>
      <c r="E13" t="b">
        <f>TRUE</f>
        <v>1</v>
      </c>
      <c r="F13">
        <f t="shared" si="0"/>
        <v>321.40041860338681</v>
      </c>
      <c r="G13">
        <f t="shared" si="1"/>
        <v>333.33333333333337</v>
      </c>
      <c r="H13" s="5">
        <f>Day_4[[#This Row],[Speed Pt]]+Day_4[[#This Row],[Dist Pt]]</f>
        <v>654.73375193672018</v>
      </c>
      <c r="I13">
        <v>0</v>
      </c>
    </row>
    <row r="14" spans="1:9" x14ac:dyDescent="0.2">
      <c r="A14" t="s">
        <v>9</v>
      </c>
      <c r="B14" t="str">
        <f>_xlfn.XLOOKUP(Day_4[[#This Row],[Glider]],Sheet1!$A$2:$A$16,Sheet1!$C$2:$C$16)</f>
        <v>Tomas Rendla</v>
      </c>
      <c r="C14">
        <v>99.42</v>
      </c>
      <c r="D14">
        <v>562.67999999999995</v>
      </c>
      <c r="E14" t="b">
        <f>TRUE</f>
        <v>1</v>
      </c>
      <c r="F14">
        <f t="shared" si="0"/>
        <v>288.12960395770483</v>
      </c>
      <c r="G14">
        <f t="shared" si="1"/>
        <v>333.33333333333337</v>
      </c>
      <c r="H14" s="5">
        <f>Day_4[[#This Row],[Speed Pt]]+Day_4[[#This Row],[Dist Pt]]</f>
        <v>621.4629372910382</v>
      </c>
      <c r="I14">
        <v>0</v>
      </c>
    </row>
    <row r="15" spans="1:9" x14ac:dyDescent="0.2">
      <c r="A15" t="s">
        <v>17</v>
      </c>
      <c r="B15" t="str">
        <f>_xlfn.XLOOKUP(Day_4[[#This Row],[Glider]],Sheet1!$A$2:$A$16,Sheet1!$C$2:$C$16)</f>
        <v>David Jansen</v>
      </c>
      <c r="H15" s="5"/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122.63</v>
      </c>
    </row>
    <row r="24" spans="1:2" x14ac:dyDescent="0.2">
      <c r="A24" t="s">
        <v>45</v>
      </c>
      <c r="B24">
        <f>D2/C2*3600</f>
        <v>16518.37233955802</v>
      </c>
    </row>
    <row r="26" spans="1:2" ht="17" x14ac:dyDescent="0.25">
      <c r="A26" t="s">
        <v>46</v>
      </c>
      <c r="B26" s="4">
        <f xml:space="preserve"> COUNT(D2:D15)</f>
        <v>13</v>
      </c>
    </row>
    <row r="27" spans="1:2" ht="17" x14ac:dyDescent="0.25">
      <c r="A27" t="s">
        <v>47</v>
      </c>
      <c r="B27" s="4">
        <f>COUNTIF(D2:D15, "&gt;=" &amp; 140)</f>
        <v>13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13</v>
      </c>
    </row>
    <row r="30" spans="1:2" x14ac:dyDescent="0.2">
      <c r="A30" t="s">
        <v>50</v>
      </c>
      <c r="B30">
        <f>MAX(D2:D15)</f>
        <v>562.67999999999995</v>
      </c>
    </row>
    <row r="32" spans="1:2" ht="17" x14ac:dyDescent="0.25">
      <c r="A32" t="s">
        <v>51</v>
      </c>
      <c r="B32" s="4">
        <f xml:space="preserve"> 1250 * (B30/B22) - 250</f>
        <v>1759.5714285714284</v>
      </c>
    </row>
    <row r="33" spans="1:2" x14ac:dyDescent="0.2">
      <c r="A33" t="s">
        <v>52</v>
      </c>
      <c r="B33">
        <f xml:space="preserve"> IF(B24&lt;=0, 1000, (400*B24/3600) - 200)</f>
        <v>1635.3747043953356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666.66666666666663</v>
      </c>
    </row>
    <row r="38" spans="1:2" x14ac:dyDescent="0.2">
      <c r="A38" t="s">
        <v>57</v>
      </c>
      <c r="B38">
        <f>B34-B37</f>
        <v>333.33333333333337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FB7-D7D2-7E4A-930C-4B28F0CE9185}">
  <dimension ref="A1:I38"/>
  <sheetViews>
    <sheetView workbookViewId="0">
      <selection activeCell="A15" sqref="A15:XFD15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7</v>
      </c>
      <c r="B2" t="str">
        <f>_xlfn.XLOOKUP(Day_5[[#This Row],[Glider]],Sheet1!$A$2:$A$16,Sheet1!$C$2:$C$16)</f>
        <v>Michael Sommer</v>
      </c>
      <c r="C2">
        <v>119.96</v>
      </c>
      <c r="D2">
        <v>576.29999999999995</v>
      </c>
      <c r="E2" t="b">
        <f>TRUE</f>
        <v>1</v>
      </c>
      <c r="F2">
        <f t="shared" ref="F2:F15" si="0">IF(E2, $B$37 * MAX(0, (C2 - 2/3*$B$23) / (1/3*$B$23)), 0)</f>
        <v>619.04761904761904</v>
      </c>
      <c r="G2" s="4">
        <f t="shared" ref="G2:G15" si="1">IF(E2, $B$38, $B$38 * (D2/$B$30))</f>
        <v>380.95238095238096</v>
      </c>
      <c r="H2" s="5">
        <f>Day_5[[#This Row],[Speed Pt]]+Day_5[[#This Row],[Dist Pt]]</f>
        <v>1000</v>
      </c>
      <c r="I2">
        <v>0</v>
      </c>
    </row>
    <row r="3" spans="1:9" x14ac:dyDescent="0.2">
      <c r="A3" t="s">
        <v>6</v>
      </c>
      <c r="B3" t="str">
        <f>_xlfn.XLOOKUP(Day_5[[#This Row],[Glider]],Sheet1!$A$2:$A$16,Sheet1!$C$2:$C$16)</f>
        <v>Felipe Levin</v>
      </c>
      <c r="C3">
        <v>119.04</v>
      </c>
      <c r="D3">
        <v>576.29999999999995</v>
      </c>
      <c r="E3" t="b">
        <f>TRUE</f>
        <v>1</v>
      </c>
      <c r="F3">
        <f t="shared" si="0"/>
        <v>604.80477619523981</v>
      </c>
      <c r="G3">
        <f t="shared" si="1"/>
        <v>380.95238095238096</v>
      </c>
      <c r="H3" s="5">
        <f>Day_5[[#This Row],[Speed Pt]]+Day_5[[#This Row],[Dist Pt]]</f>
        <v>985.75715714762077</v>
      </c>
      <c r="I3">
        <v>0</v>
      </c>
    </row>
    <row r="4" spans="1:9" x14ac:dyDescent="0.2">
      <c r="A4" s="3" t="s">
        <v>41</v>
      </c>
      <c r="B4" t="str">
        <f>_xlfn.XLOOKUP(Day_5[[#This Row],[Glider]],Sheet1!$A$2:$A$16,Sheet1!$C$2:$C$16)</f>
        <v>Sylvain Gerbaud</v>
      </c>
      <c r="C4">
        <v>116.3</v>
      </c>
      <c r="D4">
        <v>576.29999999999995</v>
      </c>
      <c r="E4" t="b">
        <f>TRUE</f>
        <v>1</v>
      </c>
      <c r="F4">
        <f t="shared" si="0"/>
        <v>562.38587465663159</v>
      </c>
      <c r="G4">
        <f t="shared" si="1"/>
        <v>380.95238095238096</v>
      </c>
      <c r="H4" s="5">
        <f>Day_5[[#This Row],[Speed Pt]]+Day_5[[#This Row],[Dist Pt]]</f>
        <v>943.33825560901255</v>
      </c>
      <c r="I4">
        <v>0</v>
      </c>
    </row>
    <row r="5" spans="1:9" x14ac:dyDescent="0.2">
      <c r="A5" t="s">
        <v>12</v>
      </c>
      <c r="B5" t="str">
        <f>_xlfn.XLOOKUP(Day_5[[#This Row],[Glider]],Sheet1!$A$2:$A$16,Sheet1!$C$2:$C$16)</f>
        <v>Max Leenders</v>
      </c>
      <c r="C5">
        <v>110.53</v>
      </c>
      <c r="D5">
        <v>576.29999999999995</v>
      </c>
      <c r="E5" t="b">
        <f>TRUE</f>
        <v>1</v>
      </c>
      <c r="F5">
        <f t="shared" si="0"/>
        <v>473.05847981073066</v>
      </c>
      <c r="G5">
        <f t="shared" si="1"/>
        <v>380.95238095238096</v>
      </c>
      <c r="H5" s="5">
        <f>Day_5[[#This Row],[Speed Pt]]+Day_5[[#This Row],[Dist Pt]]</f>
        <v>854.01086076311162</v>
      </c>
      <c r="I5">
        <v>0</v>
      </c>
    </row>
    <row r="6" spans="1:9" x14ac:dyDescent="0.2">
      <c r="A6" t="s">
        <v>8</v>
      </c>
      <c r="B6" t="str">
        <f>_xlfn.XLOOKUP(Day_5[[#This Row],[Glider]],Sheet1!$A$2:$A$16,Sheet1!$C$2:$C$16)</f>
        <v>Sebastian Kawa</v>
      </c>
      <c r="C6">
        <v>110.24</v>
      </c>
      <c r="D6">
        <v>576.29999999999995</v>
      </c>
      <c r="E6" t="b">
        <f>TRUE</f>
        <v>1</v>
      </c>
      <c r="F6">
        <f t="shared" si="0"/>
        <v>468.56888804204573</v>
      </c>
      <c r="G6">
        <f t="shared" si="1"/>
        <v>380.95238095238096</v>
      </c>
      <c r="H6" s="5">
        <f>Day_5[[#This Row],[Speed Pt]]+Day_5[[#This Row],[Dist Pt]]</f>
        <v>849.52126899442669</v>
      </c>
      <c r="I6">
        <v>0</v>
      </c>
    </row>
    <row r="7" spans="1:9" x14ac:dyDescent="0.2">
      <c r="A7" t="s">
        <v>10</v>
      </c>
      <c r="B7" t="str">
        <f>_xlfn.XLOOKUP(Day_5[[#This Row],[Glider]],Sheet1!$A$2:$A$16,Sheet1!$C$2:$C$16)</f>
        <v>Pierre de Broqueville</v>
      </c>
      <c r="C7">
        <v>110.23</v>
      </c>
      <c r="D7">
        <v>576.29999999999995</v>
      </c>
      <c r="E7" t="b">
        <f>TRUE</f>
        <v>1</v>
      </c>
      <c r="F7">
        <f t="shared" si="0"/>
        <v>468.41407453278094</v>
      </c>
      <c r="G7">
        <f t="shared" si="1"/>
        <v>380.95238095238096</v>
      </c>
      <c r="H7" s="5">
        <f>Day_5[[#This Row],[Speed Pt]]+Day_5[[#This Row],[Dist Pt]]</f>
        <v>849.36645548516185</v>
      </c>
      <c r="I7">
        <v>0</v>
      </c>
    </row>
    <row r="8" spans="1:9" x14ac:dyDescent="0.2">
      <c r="A8" t="s">
        <v>9</v>
      </c>
      <c r="B8" t="str">
        <f>_xlfn.XLOOKUP(Day_5[[#This Row],[Glider]],Sheet1!$A$2:$A$16,Sheet1!$C$2:$C$16)</f>
        <v>Tomas Rendla</v>
      </c>
      <c r="C8">
        <v>109.52</v>
      </c>
      <c r="D8">
        <v>576.29999999999995</v>
      </c>
      <c r="E8" t="b">
        <f>TRUE</f>
        <v>1</v>
      </c>
      <c r="F8">
        <f t="shared" si="0"/>
        <v>457.42231537496627</v>
      </c>
      <c r="G8">
        <f t="shared" si="1"/>
        <v>380.95238095238096</v>
      </c>
      <c r="H8" s="5">
        <f>Day_5[[#This Row],[Speed Pt]]+Day_5[[#This Row],[Dist Pt]]</f>
        <v>838.37469632734724</v>
      </c>
      <c r="I8">
        <v>0</v>
      </c>
    </row>
    <row r="9" spans="1:9" x14ac:dyDescent="0.2">
      <c r="A9" s="3" t="s">
        <v>40</v>
      </c>
      <c r="B9" t="str">
        <f>_xlfn.XLOOKUP(Day_5[[#This Row],[Glider]],Sheet1!$A$2:$A$16,Sheet1!$C$2:$C$16)</f>
        <v>Laurent Aboulin</v>
      </c>
      <c r="C9">
        <v>108.61</v>
      </c>
      <c r="D9">
        <v>576.29999999999995</v>
      </c>
      <c r="E9" t="b">
        <f>TRUE</f>
        <v>1</v>
      </c>
      <c r="F9">
        <f t="shared" si="0"/>
        <v>443.334286031852</v>
      </c>
      <c r="G9">
        <f t="shared" si="1"/>
        <v>380.95238095238096</v>
      </c>
      <c r="H9" s="5">
        <f>Day_5[[#This Row],[Speed Pt]]+Day_5[[#This Row],[Dist Pt]]</f>
        <v>824.28666698423297</v>
      </c>
      <c r="I9">
        <v>0</v>
      </c>
    </row>
    <row r="10" spans="1:9" x14ac:dyDescent="0.2">
      <c r="A10" t="s">
        <v>11</v>
      </c>
      <c r="B10" t="str">
        <f>_xlfn.XLOOKUP(Day_5[[#This Row],[Glider]],Sheet1!$A$2:$A$16,Sheet1!$C$2:$C$16)</f>
        <v>Russell Cheetham</v>
      </c>
      <c r="C10">
        <v>107.26</v>
      </c>
      <c r="D10">
        <v>576.29999999999995</v>
      </c>
      <c r="E10" t="b">
        <f>TRUE</f>
        <v>1</v>
      </c>
      <c r="F10">
        <f t="shared" si="0"/>
        <v>422.43446228107803</v>
      </c>
      <c r="G10">
        <f t="shared" si="1"/>
        <v>380.95238095238096</v>
      </c>
      <c r="H10" s="5">
        <f>Day_5[[#This Row],[Speed Pt]]+Day_5[[#This Row],[Dist Pt]]</f>
        <v>803.38684323345899</v>
      </c>
      <c r="I10">
        <v>0</v>
      </c>
    </row>
    <row r="11" spans="1:9" x14ac:dyDescent="0.2">
      <c r="A11" t="s">
        <v>13</v>
      </c>
      <c r="B11" t="str">
        <f>_xlfn.XLOOKUP(Day_5[[#This Row],[Glider]],Sheet1!$A$2:$A$16,Sheet1!$C$2:$C$16)</f>
        <v>Jiri Kusbach</v>
      </c>
      <c r="C11">
        <v>105.94</v>
      </c>
      <c r="D11">
        <v>576.29999999999995</v>
      </c>
      <c r="E11" t="b">
        <f>TRUE</f>
        <v>1</v>
      </c>
      <c r="F11">
        <f t="shared" si="0"/>
        <v>401.99907905809874</v>
      </c>
      <c r="G11">
        <f t="shared" si="1"/>
        <v>380.95238095238096</v>
      </c>
      <c r="H11" s="5">
        <f>Day_5[[#This Row],[Speed Pt]]+Day_5[[#This Row],[Dist Pt]]</f>
        <v>782.95146001047965</v>
      </c>
      <c r="I11">
        <v>0</v>
      </c>
    </row>
    <row r="12" spans="1:9" x14ac:dyDescent="0.2">
      <c r="A12" t="s">
        <v>15</v>
      </c>
      <c r="B12" t="str">
        <f>_xlfn.XLOOKUP(Day_5[[#This Row],[Glider]],Sheet1!$A$2:$A$16,Sheet1!$C$2:$C$16)</f>
        <v>Oscar Goudriaan</v>
      </c>
      <c r="C12">
        <v>105.76</v>
      </c>
      <c r="D12">
        <v>576.29999999999995</v>
      </c>
      <c r="E12" t="b">
        <f>TRUE</f>
        <v>1</v>
      </c>
      <c r="F12">
        <f t="shared" si="0"/>
        <v>399.21243589132899</v>
      </c>
      <c r="G12">
        <f t="shared" si="1"/>
        <v>380.95238095238096</v>
      </c>
      <c r="H12" s="5">
        <f>Day_5[[#This Row],[Speed Pt]]+Day_5[[#This Row],[Dist Pt]]</f>
        <v>780.16481684371001</v>
      </c>
      <c r="I12">
        <v>0</v>
      </c>
    </row>
    <row r="13" spans="1:9" x14ac:dyDescent="0.2">
      <c r="A13" t="s">
        <v>14</v>
      </c>
      <c r="B13" t="str">
        <f>_xlfn.XLOOKUP(Day_5[[#This Row],[Glider]],Sheet1!$A$2:$A$16,Sheet1!$C$2:$C$16)</f>
        <v>Bas Seijffert</v>
      </c>
      <c r="C13">
        <v>103.6</v>
      </c>
      <c r="D13">
        <v>576.29999999999995</v>
      </c>
      <c r="E13" t="b">
        <f>TRUE</f>
        <v>1</v>
      </c>
      <c r="F13">
        <f t="shared" si="0"/>
        <v>365.77271789009035</v>
      </c>
      <c r="G13">
        <f t="shared" si="1"/>
        <v>380.95238095238096</v>
      </c>
      <c r="H13" s="5">
        <f>Day_5[[#This Row],[Speed Pt]]+Day_5[[#This Row],[Dist Pt]]</f>
        <v>746.72509884247131</v>
      </c>
      <c r="I13">
        <v>0</v>
      </c>
    </row>
    <row r="14" spans="1:9" x14ac:dyDescent="0.2">
      <c r="A14" t="s">
        <v>16</v>
      </c>
      <c r="B14" t="str">
        <f>_xlfn.XLOOKUP(Day_5[[#This Row],[Glider]],Sheet1!$A$2:$A$16,Sheet1!$C$2:$C$16)</f>
        <v>Christian Hynek</v>
      </c>
      <c r="C14">
        <v>98.71</v>
      </c>
      <c r="D14">
        <v>576.29999999999995</v>
      </c>
      <c r="E14" t="b">
        <f>TRUE</f>
        <v>1</v>
      </c>
      <c r="F14">
        <f t="shared" si="0"/>
        <v>290.06891185950872</v>
      </c>
      <c r="G14">
        <f t="shared" si="1"/>
        <v>380.95238095238096</v>
      </c>
      <c r="H14" s="5">
        <f>Day_5[[#This Row],[Speed Pt]]+Day_5[[#This Row],[Dist Pt]]</f>
        <v>671.02129281188968</v>
      </c>
      <c r="I14">
        <v>0</v>
      </c>
    </row>
    <row r="15" spans="1:9" x14ac:dyDescent="0.2">
      <c r="A15" t="s">
        <v>17</v>
      </c>
      <c r="B15" t="str">
        <f>_xlfn.XLOOKUP(Day_5[[#This Row],[Glider]],Sheet1!$A$2:$A$16,Sheet1!$C$2:$C$16)</f>
        <v>David Jansen</v>
      </c>
      <c r="D15">
        <v>86.82</v>
      </c>
      <c r="E15" t="b">
        <f>FALSE</f>
        <v>0</v>
      </c>
      <c r="F15">
        <f t="shared" si="0"/>
        <v>0</v>
      </c>
      <c r="G15">
        <f t="shared" si="1"/>
        <v>57.390743908182749</v>
      </c>
      <c r="H15" s="5">
        <f>Day_5[[#This Row],[Speed Pt]]+Day_5[[#This Row],[Dist Pt]]</f>
        <v>57.390743908182749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119.96</v>
      </c>
    </row>
    <row r="24" spans="1:2" x14ac:dyDescent="0.2">
      <c r="A24" t="s">
        <v>45</v>
      </c>
      <c r="B24">
        <f>D2/C2*3600</f>
        <v>17294.764921640544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13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13</v>
      </c>
    </row>
    <row r="30" spans="1:2" x14ac:dyDescent="0.2">
      <c r="A30" t="s">
        <v>50</v>
      </c>
      <c r="B30">
        <f>MAX(D2:D15)</f>
        <v>576.29999999999995</v>
      </c>
    </row>
    <row r="32" spans="1:2" ht="17" x14ac:dyDescent="0.25">
      <c r="A32" t="s">
        <v>51</v>
      </c>
      <c r="B32" s="4">
        <f xml:space="preserve"> 1250 * (B30/B22) - 250</f>
        <v>1808.2142857142853</v>
      </c>
    </row>
    <row r="33" spans="1:2" x14ac:dyDescent="0.2">
      <c r="A33" t="s">
        <v>52</v>
      </c>
      <c r="B33">
        <f xml:space="preserve"> IF(B24&lt;=0, 1000, (400*B24/3600) - 200)</f>
        <v>1721.6405468489493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619.04761904761904</v>
      </c>
    </row>
    <row r="38" spans="1:2" x14ac:dyDescent="0.2">
      <c r="A38" t="s">
        <v>57</v>
      </c>
      <c r="B38">
        <f>B34-B37</f>
        <v>380.95238095238096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D564-FA71-B74F-8140-A040C003856B}">
  <dimension ref="A1:I38"/>
  <sheetViews>
    <sheetView workbookViewId="0">
      <selection activeCell="A16" sqref="A16:XFD16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s="3" t="s">
        <v>41</v>
      </c>
      <c r="B2" t="str">
        <f>_xlfn.XLOOKUP(Day_6[[#This Row],[Glider]],Sheet1!$A$2:$A$16,Sheet1!$C$2:$C$16)</f>
        <v>Sylvain Gerbaud</v>
      </c>
      <c r="C2">
        <v>122.53</v>
      </c>
      <c r="D2">
        <v>449.7</v>
      </c>
      <c r="E2" t="b">
        <f>TRUE</f>
        <v>1</v>
      </c>
      <c r="F2">
        <f t="shared" ref="F2:F15" si="0">IF(E2, $B$37 * MAX(0, (C2 - 2/3*$B$23) / (1/3*$B$23)), 0)</f>
        <v>571.42857142857144</v>
      </c>
      <c r="G2" s="4">
        <f t="shared" ref="G2:G15" si="1">IF(E2, $B$38, $B$38 * (D2/$B$30))</f>
        <v>428.57142857142856</v>
      </c>
      <c r="H2" s="5">
        <f>Day_6[[#This Row],[Speed Pt]]+Day_6[[#This Row],[Dist Pt]]</f>
        <v>1000</v>
      </c>
      <c r="I2">
        <v>0</v>
      </c>
    </row>
    <row r="3" spans="1:9" x14ac:dyDescent="0.2">
      <c r="A3" s="3" t="s">
        <v>40</v>
      </c>
      <c r="B3" t="str">
        <f>_xlfn.XLOOKUP(Day_6[[#This Row],[Glider]],Sheet1!$A$2:$A$16,Sheet1!$C$2:$C$16)</f>
        <v>Laurent Aboulin</v>
      </c>
      <c r="C3">
        <v>120.77</v>
      </c>
      <c r="D3">
        <v>451.44</v>
      </c>
      <c r="E3" t="b">
        <f>TRUE</f>
        <v>1</v>
      </c>
      <c r="F3">
        <f t="shared" si="0"/>
        <v>546.80486411491063</v>
      </c>
      <c r="G3">
        <f t="shared" si="1"/>
        <v>428.57142857142856</v>
      </c>
      <c r="H3" s="5">
        <f>Day_6[[#This Row],[Speed Pt]]+Day_6[[#This Row],[Dist Pt]]</f>
        <v>975.37629268633918</v>
      </c>
      <c r="I3">
        <v>0</v>
      </c>
    </row>
    <row r="4" spans="1:9" x14ac:dyDescent="0.2">
      <c r="A4" t="s">
        <v>8</v>
      </c>
      <c r="B4" t="str">
        <f>_xlfn.XLOOKUP(Day_6[[#This Row],[Glider]],Sheet1!$A$2:$A$16,Sheet1!$C$2:$C$16)</f>
        <v>Sebastian Kawa</v>
      </c>
      <c r="C4">
        <v>118.59</v>
      </c>
      <c r="D4">
        <v>434.33</v>
      </c>
      <c r="E4" t="b">
        <f>TRUE</f>
        <v>1</v>
      </c>
      <c r="F4">
        <f t="shared" si="0"/>
        <v>516.30504482867173</v>
      </c>
      <c r="G4">
        <f t="shared" si="1"/>
        <v>428.57142857142856</v>
      </c>
      <c r="H4" s="5">
        <f>Day_6[[#This Row],[Speed Pt]]+Day_6[[#This Row],[Dist Pt]]</f>
        <v>944.87647340010028</v>
      </c>
      <c r="I4">
        <v>0</v>
      </c>
    </row>
    <row r="5" spans="1:9" x14ac:dyDescent="0.2">
      <c r="A5" t="s">
        <v>13</v>
      </c>
      <c r="B5" t="str">
        <f>_xlfn.XLOOKUP(Day_6[[#This Row],[Glider]],Sheet1!$A$2:$A$16,Sheet1!$C$2:$C$16)</f>
        <v>Jiri Kusbach</v>
      </c>
      <c r="C5">
        <v>116.58</v>
      </c>
      <c r="D5">
        <v>421.71</v>
      </c>
      <c r="E5" t="b">
        <f>TRUE</f>
        <v>1</v>
      </c>
      <c r="F5">
        <f t="shared" si="0"/>
        <v>488.18365181704769</v>
      </c>
      <c r="G5">
        <f t="shared" si="1"/>
        <v>428.57142857142856</v>
      </c>
      <c r="H5" s="5">
        <f>Day_6[[#This Row],[Speed Pt]]+Day_6[[#This Row],[Dist Pt]]</f>
        <v>916.75508038847624</v>
      </c>
      <c r="I5">
        <v>0</v>
      </c>
    </row>
    <row r="6" spans="1:9" x14ac:dyDescent="0.2">
      <c r="A6" t="s">
        <v>9</v>
      </c>
      <c r="B6" t="str">
        <f>_xlfn.XLOOKUP(Day_6[[#This Row],[Glider]],Sheet1!$A$2:$A$16,Sheet1!$C$2:$C$16)</f>
        <v>Tomas Rendla</v>
      </c>
      <c r="C6">
        <v>115.86</v>
      </c>
      <c r="D6">
        <v>427.83</v>
      </c>
      <c r="E6" t="b">
        <f>TRUE</f>
        <v>1</v>
      </c>
      <c r="F6">
        <f t="shared" si="0"/>
        <v>478.1103170069137</v>
      </c>
      <c r="G6">
        <f t="shared" si="1"/>
        <v>428.57142857142856</v>
      </c>
      <c r="H6" s="5">
        <f>Day_6[[#This Row],[Speed Pt]]+Day_6[[#This Row],[Dist Pt]]</f>
        <v>906.68174557834232</v>
      </c>
      <c r="I6">
        <v>0</v>
      </c>
    </row>
    <row r="7" spans="1:9" x14ac:dyDescent="0.2">
      <c r="A7" t="s">
        <v>14</v>
      </c>
      <c r="B7" t="str">
        <f>_xlfn.XLOOKUP(Day_6[[#This Row],[Glider]],Sheet1!$A$2:$A$16,Sheet1!$C$2:$C$16)</f>
        <v>Bas Seijffert</v>
      </c>
      <c r="C7">
        <v>112.45</v>
      </c>
      <c r="D7">
        <v>405.69</v>
      </c>
      <c r="E7" t="b">
        <f>TRUE</f>
        <v>1</v>
      </c>
      <c r="F7">
        <f t="shared" si="0"/>
        <v>430.40188408669599</v>
      </c>
      <c r="G7">
        <f t="shared" si="1"/>
        <v>428.57142857142856</v>
      </c>
      <c r="H7" s="5">
        <f>Day_6[[#This Row],[Speed Pt]]+Day_6[[#This Row],[Dist Pt]]</f>
        <v>858.97331265812454</v>
      </c>
      <c r="I7">
        <v>0</v>
      </c>
    </row>
    <row r="8" spans="1:9" x14ac:dyDescent="0.2">
      <c r="A8" t="s">
        <v>10</v>
      </c>
      <c r="B8" t="str">
        <f>_xlfn.XLOOKUP(Day_6[[#This Row],[Glider]],Sheet1!$A$2:$A$16,Sheet1!$C$2:$C$16)</f>
        <v>Pierre de Broqueville</v>
      </c>
      <c r="C8">
        <v>110.25</v>
      </c>
      <c r="D8">
        <v>444.98</v>
      </c>
      <c r="E8" t="b">
        <f>TRUE</f>
        <v>1</v>
      </c>
      <c r="F8">
        <f t="shared" si="0"/>
        <v>399.62224994461997</v>
      </c>
      <c r="G8">
        <f t="shared" si="1"/>
        <v>428.57142857142856</v>
      </c>
      <c r="H8" s="5">
        <f>Day_6[[#This Row],[Speed Pt]]+Day_6[[#This Row],[Dist Pt]]</f>
        <v>828.19367851604852</v>
      </c>
      <c r="I8">
        <v>0</v>
      </c>
    </row>
    <row r="9" spans="1:9" x14ac:dyDescent="0.2">
      <c r="A9" t="s">
        <v>7</v>
      </c>
      <c r="B9" t="str">
        <f>_xlfn.XLOOKUP(Day_6[[#This Row],[Glider]],Sheet1!$A$2:$A$16,Sheet1!$C$2:$C$16)</f>
        <v>Michael Sommer</v>
      </c>
      <c r="C9">
        <v>108.03</v>
      </c>
      <c r="D9">
        <v>427.76</v>
      </c>
      <c r="E9" t="b">
        <f>IF(Day_6[[#This Row],[Speed]]&gt;0,TRUE,FALSE)</f>
        <v>1</v>
      </c>
      <c r="F9">
        <f t="shared" si="0"/>
        <v>368.56280094670694</v>
      </c>
      <c r="G9">
        <f t="shared" si="1"/>
        <v>428.57142857142856</v>
      </c>
      <c r="H9" s="5">
        <f>Day_6[[#This Row],[Speed Pt]]+Day_6[[#This Row],[Dist Pt]]</f>
        <v>797.1342295181355</v>
      </c>
      <c r="I9">
        <v>0</v>
      </c>
    </row>
    <row r="10" spans="1:9" x14ac:dyDescent="0.2">
      <c r="A10" t="s">
        <v>11</v>
      </c>
      <c r="B10" t="str">
        <f>_xlfn.XLOOKUP(Day_6[[#This Row],[Glider]],Sheet1!$A$2:$A$16,Sheet1!$C$2:$C$16)</f>
        <v>Russell Cheetham</v>
      </c>
      <c r="C10">
        <v>107.42</v>
      </c>
      <c r="D10">
        <v>425.63</v>
      </c>
      <c r="E10" t="b">
        <f>IF(Day_6[[#This Row],[Speed]]&gt;0,TRUE,FALSE)</f>
        <v>1</v>
      </c>
      <c r="F10">
        <f t="shared" si="0"/>
        <v>360.02844784367682</v>
      </c>
      <c r="G10">
        <f t="shared" si="1"/>
        <v>428.57142857142856</v>
      </c>
      <c r="H10" s="5">
        <f>Day_6[[#This Row],[Speed Pt]]+Day_6[[#This Row],[Dist Pt]]</f>
        <v>788.59987641510543</v>
      </c>
      <c r="I10">
        <v>0</v>
      </c>
    </row>
    <row r="11" spans="1:9" x14ac:dyDescent="0.2">
      <c r="A11" t="s">
        <v>6</v>
      </c>
      <c r="B11" t="str">
        <f>_xlfn.XLOOKUP(Day_6[[#This Row],[Glider]],Sheet1!$A$2:$A$16,Sheet1!$C$2:$C$16)</f>
        <v>Felipe Levin</v>
      </c>
      <c r="C11">
        <v>107.03</v>
      </c>
      <c r="D11">
        <v>426.02</v>
      </c>
      <c r="E11" t="b">
        <f>IF(Day_6[[#This Row],[Speed]]&gt;0,TRUE,FALSE)</f>
        <v>1</v>
      </c>
      <c r="F11">
        <f t="shared" si="0"/>
        <v>354.57205815485418</v>
      </c>
      <c r="G11">
        <f t="shared" si="1"/>
        <v>428.57142857142856</v>
      </c>
      <c r="H11" s="5">
        <f>Day_6[[#This Row],[Speed Pt]]+Day_6[[#This Row],[Dist Pt]]</f>
        <v>783.14348672628273</v>
      </c>
      <c r="I11">
        <v>0</v>
      </c>
    </row>
    <row r="12" spans="1:9" x14ac:dyDescent="0.2">
      <c r="A12" t="s">
        <v>15</v>
      </c>
      <c r="B12" t="str">
        <f>_xlfn.XLOOKUP(Day_6[[#This Row],[Glider]],Sheet1!$A$2:$A$16,Sheet1!$C$2:$C$16)</f>
        <v>Oscar Goudriaan</v>
      </c>
      <c r="C12">
        <v>102.87</v>
      </c>
      <c r="D12">
        <v>387.57</v>
      </c>
      <c r="E12" t="b">
        <f>IF(Day_6[[#This Row],[Speed]]&gt;0,TRUE,FALSE)</f>
        <v>1</v>
      </c>
      <c r="F12">
        <f t="shared" si="0"/>
        <v>296.37056814074691</v>
      </c>
      <c r="G12">
        <f t="shared" si="1"/>
        <v>428.57142857142856</v>
      </c>
      <c r="H12" s="5">
        <f>Day_6[[#This Row],[Speed Pt]]+Day_6[[#This Row],[Dist Pt]]</f>
        <v>724.94199671217552</v>
      </c>
      <c r="I12">
        <v>0</v>
      </c>
    </row>
    <row r="13" spans="1:9" x14ac:dyDescent="0.2">
      <c r="A13" t="s">
        <v>12</v>
      </c>
      <c r="B13" t="str">
        <f>_xlfn.XLOOKUP(Day_6[[#This Row],[Glider]],Sheet1!$A$2:$A$16,Sheet1!$C$2:$C$16)</f>
        <v>Max Leenders</v>
      </c>
      <c r="C13">
        <v>102.43</v>
      </c>
      <c r="D13">
        <v>379.97</v>
      </c>
      <c r="E13" t="b">
        <f>IF(Day_6[[#This Row],[Speed]]&gt;0,TRUE,FALSE)</f>
        <v>1</v>
      </c>
      <c r="F13">
        <f t="shared" si="0"/>
        <v>290.21464131233176</v>
      </c>
      <c r="G13">
        <f t="shared" si="1"/>
        <v>428.57142857142856</v>
      </c>
      <c r="H13" s="5">
        <f>Day_6[[#This Row],[Speed Pt]]+Day_6[[#This Row],[Dist Pt]]</f>
        <v>718.78606988376032</v>
      </c>
      <c r="I13">
        <v>0</v>
      </c>
    </row>
    <row r="14" spans="1:9" x14ac:dyDescent="0.2">
      <c r="A14" t="s">
        <v>16</v>
      </c>
      <c r="B14" t="str">
        <f>_xlfn.XLOOKUP(Day_6[[#This Row],[Glider]],Sheet1!$A$2:$A$16,Sheet1!$C$2:$C$16)</f>
        <v>Christian Hynek</v>
      </c>
      <c r="D14">
        <v>443.99</v>
      </c>
      <c r="E14" t="b">
        <f>IF(Day_6[[#This Row],[Speed]]&gt;0,TRUE,FALSE)</f>
        <v>0</v>
      </c>
      <c r="F14">
        <f t="shared" si="0"/>
        <v>0</v>
      </c>
      <c r="G14">
        <f t="shared" si="1"/>
        <v>421.49882281461225</v>
      </c>
      <c r="H14" s="5">
        <f>Day_6[[#This Row],[Speed Pt]]+Day_6[[#This Row],[Dist Pt]]</f>
        <v>421.49882281461225</v>
      </c>
      <c r="I14">
        <v>0</v>
      </c>
    </row>
    <row r="15" spans="1:9" x14ac:dyDescent="0.2">
      <c r="A15" t="s">
        <v>17</v>
      </c>
      <c r="B15" t="str">
        <f>_xlfn.XLOOKUP(Day_6[[#This Row],[Glider]],Sheet1!$A$2:$A$16,Sheet1!$C$2:$C$16)</f>
        <v>David Jansen</v>
      </c>
      <c r="D15">
        <v>305.52</v>
      </c>
      <c r="E15" t="b">
        <f>IF(Day_6[[#This Row],[Speed]]&gt;0,TRUE,FALSE)</f>
        <v>0</v>
      </c>
      <c r="F15">
        <f t="shared" si="0"/>
        <v>0</v>
      </c>
      <c r="G15">
        <f t="shared" si="1"/>
        <v>290.04329004328997</v>
      </c>
      <c r="H15" s="5">
        <f>Day_6[[#This Row],[Speed Pt]]+Day_6[[#This Row],[Dist Pt]]</f>
        <v>290.04329004328997</v>
      </c>
      <c r="I15">
        <v>0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122.53</v>
      </c>
    </row>
    <row r="24" spans="1:2" x14ac:dyDescent="0.2">
      <c r="A24" t="s">
        <v>45</v>
      </c>
      <c r="B24">
        <f>D2/C2*3600</f>
        <v>13212.437770341958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12</v>
      </c>
    </row>
    <row r="29" spans="1:2" x14ac:dyDescent="0.2">
      <c r="A29" t="s">
        <v>49</v>
      </c>
      <c r="B29">
        <f>COUNTIFS(E2:E15, TRUE, C2:C15, "&gt;" &amp; 2/3*$B$23)</f>
        <v>12</v>
      </c>
    </row>
    <row r="30" spans="1:2" x14ac:dyDescent="0.2">
      <c r="A30" t="s">
        <v>50</v>
      </c>
      <c r="B30">
        <f>MAX(D2:D15)</f>
        <v>451.44</v>
      </c>
    </row>
    <row r="32" spans="1:2" ht="17" x14ac:dyDescent="0.25">
      <c r="A32" t="s">
        <v>51</v>
      </c>
      <c r="B32" s="4">
        <f xml:space="preserve"> 1250 * (B30/B22) - 250</f>
        <v>1362.2857142857142</v>
      </c>
    </row>
    <row r="33" spans="1:2" x14ac:dyDescent="0.2">
      <c r="A33" t="s">
        <v>52</v>
      </c>
      <c r="B33">
        <f xml:space="preserve"> IF(B24&lt;=0, 1000, (400*B24/3600) - 200)</f>
        <v>1268.0486411491065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571.42857142857144</v>
      </c>
    </row>
    <row r="38" spans="1:2" x14ac:dyDescent="0.2">
      <c r="A38" t="s">
        <v>57</v>
      </c>
      <c r="B38">
        <f>B34-B37</f>
        <v>428.57142857142856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2984-82A4-134A-BE3A-C61C9EF86195}">
  <dimension ref="A1:I38"/>
  <sheetViews>
    <sheetView workbookViewId="0">
      <selection activeCell="H13" sqref="H13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16</v>
      </c>
      <c r="B2" t="str">
        <f>_xlfn.XLOOKUP(Day_7[[#This Row],[Glider]],Sheet1!$A$2:$A$16,Sheet1!$C$2:$C$16)</f>
        <v>Christian Hynek</v>
      </c>
      <c r="C2" s="7">
        <v>100.61</v>
      </c>
      <c r="D2" s="7">
        <v>259.79000000000002</v>
      </c>
      <c r="E2" t="b">
        <f>TRUE</f>
        <v>1</v>
      </c>
      <c r="F2">
        <f t="shared" ref="F2:F15" si="0">IF(E2, $B$37 * MAX(0, (C2 - 2/3*$B$23) / (1/3*$B$23)), 0)</f>
        <v>387.32653061224511</v>
      </c>
      <c r="G2" s="4">
        <f t="shared" ref="G2:G15" si="1">IF(E2, $B$38, $B$38 * (D2/$B$30))</f>
        <v>290.49489795918373</v>
      </c>
      <c r="H2" s="5">
        <f>Day_7[[#This Row],[Speed Pt]]+Day_7[[#This Row],[Dist Pt]]</f>
        <v>677.8214285714289</v>
      </c>
      <c r="I2">
        <v>0</v>
      </c>
    </row>
    <row r="3" spans="1:9" x14ac:dyDescent="0.2">
      <c r="A3" t="s">
        <v>14</v>
      </c>
      <c r="B3" t="str">
        <f>_xlfn.XLOOKUP(Day_7[[#This Row],[Glider]],Sheet1!$A$2:$A$16,Sheet1!$C$2:$C$16)</f>
        <v>Bas Seijffert</v>
      </c>
      <c r="C3" s="7">
        <v>99.27</v>
      </c>
      <c r="D3" s="7">
        <v>249.84</v>
      </c>
      <c r="E3" t="b">
        <f>TRUE</f>
        <v>1</v>
      </c>
      <c r="F3">
        <f t="shared" si="0"/>
        <v>371.85040842696304</v>
      </c>
      <c r="G3">
        <f t="shared" si="1"/>
        <v>290.49489795918373</v>
      </c>
      <c r="H3" s="5">
        <f>Day_7[[#This Row],[Speed Pt]]+Day_7[[#This Row],[Dist Pt]]</f>
        <v>662.34530638614683</v>
      </c>
      <c r="I3">
        <v>0</v>
      </c>
    </row>
    <row r="4" spans="1:9" x14ac:dyDescent="0.2">
      <c r="A4" t="s">
        <v>8</v>
      </c>
      <c r="B4" t="str">
        <f>_xlfn.XLOOKUP(Day_7[[#This Row],[Glider]],Sheet1!$A$2:$A$16,Sheet1!$C$2:$C$16)</f>
        <v>Sebastian Kawa</v>
      </c>
      <c r="C4" s="7">
        <v>98.28</v>
      </c>
      <c r="D4" s="7">
        <v>253.46</v>
      </c>
      <c r="E4" t="b">
        <f>TRUE</f>
        <v>1</v>
      </c>
      <c r="F4">
        <f t="shared" si="0"/>
        <v>360.41655696171739</v>
      </c>
      <c r="G4">
        <f t="shared" si="1"/>
        <v>290.49489795918373</v>
      </c>
      <c r="H4" s="5">
        <f>Day_7[[#This Row],[Speed Pt]]+Day_7[[#This Row],[Dist Pt]]</f>
        <v>650.91145492090118</v>
      </c>
      <c r="I4">
        <v>0</v>
      </c>
    </row>
    <row r="5" spans="1:9" x14ac:dyDescent="0.2">
      <c r="A5" t="s">
        <v>6</v>
      </c>
      <c r="B5" t="str">
        <f>_xlfn.XLOOKUP(Day_7[[#This Row],[Glider]],Sheet1!$A$2:$A$16,Sheet1!$C$2:$C$16)</f>
        <v>Felipe Levin</v>
      </c>
      <c r="C5" s="7">
        <v>97.53</v>
      </c>
      <c r="D5" s="7">
        <v>259.39</v>
      </c>
      <c r="E5" t="b">
        <f>TRUE</f>
        <v>1</v>
      </c>
      <c r="F5">
        <f t="shared" si="0"/>
        <v>351.75454827592523</v>
      </c>
      <c r="G5">
        <f t="shared" si="1"/>
        <v>290.49489795918373</v>
      </c>
      <c r="H5" s="5">
        <f>Day_7[[#This Row],[Speed Pt]]+Day_7[[#This Row],[Dist Pt]]</f>
        <v>642.24944623510896</v>
      </c>
      <c r="I5">
        <v>0</v>
      </c>
    </row>
    <row r="6" spans="1:9" x14ac:dyDescent="0.2">
      <c r="A6" t="s">
        <v>7</v>
      </c>
      <c r="B6" t="str">
        <f>_xlfn.XLOOKUP(Day_7[[#This Row],[Glider]],Sheet1!$A$2:$A$16,Sheet1!$C$2:$C$16)</f>
        <v>Michael Sommer</v>
      </c>
      <c r="C6" s="7">
        <v>96.29</v>
      </c>
      <c r="D6" s="7">
        <v>257.23</v>
      </c>
      <c r="E6" t="b">
        <f>TRUE</f>
        <v>1</v>
      </c>
      <c r="F6">
        <f t="shared" si="0"/>
        <v>337.43336058208223</v>
      </c>
      <c r="G6">
        <f t="shared" si="1"/>
        <v>290.49489795918373</v>
      </c>
      <c r="H6" s="5">
        <f>Day_7[[#This Row],[Speed Pt]]+Day_7[[#This Row],[Dist Pt]]</f>
        <v>627.9282585412659</v>
      </c>
      <c r="I6">
        <v>0</v>
      </c>
    </row>
    <row r="7" spans="1:9" x14ac:dyDescent="0.2">
      <c r="A7" s="3" t="s">
        <v>41</v>
      </c>
      <c r="B7" t="str">
        <f>_xlfn.XLOOKUP(Day_7[[#This Row],[Glider]],Sheet1!$A$2:$A$16,Sheet1!$C$2:$C$16)</f>
        <v>Sylvain Gerbaud</v>
      </c>
      <c r="C7" s="7">
        <v>93.12</v>
      </c>
      <c r="D7" s="7">
        <v>254.81</v>
      </c>
      <c r="E7" t="b">
        <f>TRUE</f>
        <v>1</v>
      </c>
      <c r="F7">
        <f t="shared" si="0"/>
        <v>300.82193720346726</v>
      </c>
      <c r="G7">
        <f t="shared" si="1"/>
        <v>290.49489795918373</v>
      </c>
      <c r="H7" s="5">
        <f>Day_7[[#This Row],[Speed Pt]]+Day_7[[#This Row],[Dist Pt]]</f>
        <v>591.31683516265093</v>
      </c>
      <c r="I7">
        <v>0</v>
      </c>
    </row>
    <row r="8" spans="1:9" x14ac:dyDescent="0.2">
      <c r="A8" s="3" t="s">
        <v>40</v>
      </c>
      <c r="B8" t="str">
        <f>_xlfn.XLOOKUP(Day_7[[#This Row],[Glider]],Sheet1!$A$2:$A$16,Sheet1!$C$2:$C$16)</f>
        <v>Laurent Aboulin</v>
      </c>
      <c r="C8" s="7">
        <v>92.88</v>
      </c>
      <c r="D8" s="7">
        <v>254.76</v>
      </c>
      <c r="E8" t="b">
        <f>TRUE</f>
        <v>1</v>
      </c>
      <c r="F8">
        <f t="shared" si="0"/>
        <v>298.05009442401365</v>
      </c>
      <c r="G8">
        <f t="shared" si="1"/>
        <v>290.49489795918373</v>
      </c>
      <c r="H8" s="5">
        <f>Day_7[[#This Row],[Speed Pt]]+Day_7[[#This Row],[Dist Pt]]</f>
        <v>588.54499238319738</v>
      </c>
      <c r="I8">
        <v>0</v>
      </c>
    </row>
    <row r="9" spans="1:9" x14ac:dyDescent="0.2">
      <c r="A9" t="s">
        <v>10</v>
      </c>
      <c r="B9" t="str">
        <f>_xlfn.XLOOKUP(Day_7[[#This Row],[Glider]],Sheet1!$A$2:$A$16,Sheet1!$C$2:$C$16)</f>
        <v>Pierre de Broqueville</v>
      </c>
      <c r="C9" s="7">
        <v>90.88</v>
      </c>
      <c r="D9" s="7">
        <v>251.62</v>
      </c>
      <c r="E9" t="b">
        <f>IF(Day_7[[#This Row],[Speed]]&gt;0,TRUE,FALSE)</f>
        <v>1</v>
      </c>
      <c r="F9">
        <f t="shared" si="0"/>
        <v>274.95140459523452</v>
      </c>
      <c r="G9">
        <f t="shared" si="1"/>
        <v>290.49489795918373</v>
      </c>
      <c r="H9" s="5">
        <f>Day_7[[#This Row],[Speed Pt]]+Day_7[[#This Row],[Dist Pt]]</f>
        <v>565.44630255441825</v>
      </c>
      <c r="I9">
        <v>0</v>
      </c>
    </row>
    <row r="10" spans="1:9" x14ac:dyDescent="0.2">
      <c r="A10" t="s">
        <v>12</v>
      </c>
      <c r="B10" t="str">
        <f>_xlfn.XLOOKUP(Day_7[[#This Row],[Glider]],Sheet1!$A$2:$A$16,Sheet1!$C$2:$C$16)</f>
        <v>Max Leenders</v>
      </c>
      <c r="C10" s="7">
        <v>90.29</v>
      </c>
      <c r="D10" s="7">
        <v>250.3</v>
      </c>
      <c r="E10" t="b">
        <f>IF(Day_7[[#This Row],[Speed]]&gt;0,TRUE,FALSE)</f>
        <v>1</v>
      </c>
      <c r="F10">
        <f t="shared" si="0"/>
        <v>268.13729109574479</v>
      </c>
      <c r="G10">
        <f t="shared" si="1"/>
        <v>290.49489795918373</v>
      </c>
      <c r="H10" s="5">
        <f>Day_7[[#This Row],[Speed Pt]]+Day_7[[#This Row],[Dist Pt]]</f>
        <v>558.63218905492852</v>
      </c>
      <c r="I10">
        <v>0</v>
      </c>
    </row>
    <row r="11" spans="1:9" x14ac:dyDescent="0.2">
      <c r="A11" t="s">
        <v>9</v>
      </c>
      <c r="B11" t="str">
        <f>_xlfn.XLOOKUP(Day_7[[#This Row],[Glider]],Sheet1!$A$2:$A$16,Sheet1!$C$2:$C$16)</f>
        <v>Tomas Rendla</v>
      </c>
      <c r="C11" s="7">
        <v>90.2</v>
      </c>
      <c r="D11" s="7">
        <v>255.3</v>
      </c>
      <c r="E11" t="b">
        <f>IF(Day_7[[#This Row],[Speed]]&gt;0,TRUE,FALSE)</f>
        <v>1</v>
      </c>
      <c r="F11">
        <f t="shared" si="0"/>
        <v>267.09785005344969</v>
      </c>
      <c r="G11">
        <f t="shared" si="1"/>
        <v>290.49489795918373</v>
      </c>
      <c r="H11" s="5">
        <f>Day_7[[#This Row],[Speed Pt]]+Day_7[[#This Row],[Dist Pt]]</f>
        <v>557.59274801263336</v>
      </c>
      <c r="I11">
        <v>0</v>
      </c>
    </row>
    <row r="12" spans="1:9" x14ac:dyDescent="0.2">
      <c r="A12" t="s">
        <v>13</v>
      </c>
      <c r="B12" t="str">
        <f>_xlfn.XLOOKUP(Day_7[[#This Row],[Glider]],Sheet1!$A$2:$A$16,Sheet1!$C$2:$C$16)</f>
        <v>Jiri Kusbach</v>
      </c>
      <c r="C12" s="7">
        <v>88.79</v>
      </c>
      <c r="D12" s="7">
        <v>248.89</v>
      </c>
      <c r="E12" t="b">
        <f>IF(Day_7[[#This Row],[Speed]]&gt;0,TRUE,FALSE)</f>
        <v>1</v>
      </c>
      <c r="F12">
        <f t="shared" si="0"/>
        <v>250.81327372416041</v>
      </c>
      <c r="G12">
        <f t="shared" si="1"/>
        <v>290.49489795918373</v>
      </c>
      <c r="H12" s="5">
        <f>Day_7[[#This Row],[Speed Pt]]+Day_7[[#This Row],[Dist Pt]]-Day_7[[#This Row],[Penalty]]</f>
        <v>531.3081716833442</v>
      </c>
      <c r="I12">
        <v>10</v>
      </c>
    </row>
    <row r="13" spans="1:9" x14ac:dyDescent="0.2">
      <c r="A13" t="s">
        <v>17</v>
      </c>
      <c r="B13" t="str">
        <f>_xlfn.XLOOKUP(Day_7[[#This Row],[Glider]],Sheet1!$A$2:$A$16,Sheet1!$C$2:$C$16)</f>
        <v>David Jansen</v>
      </c>
      <c r="C13" s="7">
        <v>84.75</v>
      </c>
      <c r="D13" s="7">
        <v>248.87</v>
      </c>
      <c r="E13" t="b">
        <f>IF(Day_7[[#This Row],[Speed]]&gt;0,TRUE,FALSE)</f>
        <v>1</v>
      </c>
      <c r="F13">
        <f t="shared" si="0"/>
        <v>204.15392027002645</v>
      </c>
      <c r="G13">
        <f t="shared" si="1"/>
        <v>290.49489795918373</v>
      </c>
      <c r="H13" s="5">
        <f>Day_7[[#This Row],[Speed Pt]]+Day_7[[#This Row],[Dist Pt]]</f>
        <v>494.64881822921018</v>
      </c>
      <c r="I13">
        <v>0</v>
      </c>
    </row>
    <row r="14" spans="1:9" x14ac:dyDescent="0.2">
      <c r="A14" t="s">
        <v>11</v>
      </c>
      <c r="B14" t="str">
        <f>_xlfn.XLOOKUP(Day_7[[#This Row],[Glider]],Sheet1!$A$2:$A$16,Sheet1!$C$2:$C$16)</f>
        <v>Russell Cheetham</v>
      </c>
      <c r="C14" s="7"/>
      <c r="D14" s="7">
        <v>147.86000000000001</v>
      </c>
      <c r="E14" t="b">
        <f>IF(Day_7[[#This Row],[Speed]]&gt;0,TRUE,FALSE)</f>
        <v>0</v>
      </c>
      <c r="F14">
        <f t="shared" si="0"/>
        <v>0</v>
      </c>
      <c r="G14">
        <f t="shared" si="1"/>
        <v>165.3357543101925</v>
      </c>
      <c r="H14" s="5">
        <f>Day_7[[#This Row],[Speed Pt]]+Day_7[[#This Row],[Dist Pt]]</f>
        <v>165.3357543101925</v>
      </c>
      <c r="I14">
        <v>0</v>
      </c>
    </row>
    <row r="15" spans="1:9" x14ac:dyDescent="0.2">
      <c r="A15" t="s">
        <v>15</v>
      </c>
      <c r="B15" t="str">
        <f>_xlfn.XLOOKUP(Day_7[[#This Row],[Glider]],Sheet1!$A$2:$A$16,Sheet1!$C$2:$C$16)</f>
        <v>Oscar Goudriaan</v>
      </c>
      <c r="C15" s="7"/>
      <c r="D15" s="7">
        <v>69.94</v>
      </c>
      <c r="E15" t="b">
        <f>IF(Day_7[[#This Row],[Speed]]&gt;0,TRUE,FALSE)</f>
        <v>0</v>
      </c>
      <c r="F15">
        <f t="shared" si="0"/>
        <v>0</v>
      </c>
      <c r="G15">
        <f t="shared" si="1"/>
        <v>78.206294173237268</v>
      </c>
      <c r="H15" s="5">
        <f>Day_7[[#This Row],[Speed Pt]]+Day_7[[#This Row],[Dist Pt]]</f>
        <v>78.206294173237268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100.61</v>
      </c>
    </row>
    <row r="24" spans="1:2" x14ac:dyDescent="0.2">
      <c r="A24" t="s">
        <v>45</v>
      </c>
      <c r="B24">
        <f>D2/C2*3600</f>
        <v>9295.7360103369447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13</v>
      </c>
    </row>
    <row r="28" spans="1:2" x14ac:dyDescent="0.2">
      <c r="A28" t="s">
        <v>48</v>
      </c>
      <c r="B28">
        <f>COUNTIF(E2:E15, TRUE)</f>
        <v>12</v>
      </c>
    </row>
    <row r="29" spans="1:2" x14ac:dyDescent="0.2">
      <c r="A29" t="s">
        <v>49</v>
      </c>
      <c r="B29">
        <f>COUNTIFS(E2:E15, TRUE, C2:C15, "&gt;" &amp; 2/3*$B$23)</f>
        <v>12</v>
      </c>
    </row>
    <row r="30" spans="1:2" x14ac:dyDescent="0.2">
      <c r="A30" t="s">
        <v>50</v>
      </c>
      <c r="B30">
        <f>MAX(D2:D15)</f>
        <v>259.79000000000002</v>
      </c>
    </row>
    <row r="32" spans="1:2" ht="17" x14ac:dyDescent="0.25">
      <c r="A32" t="s">
        <v>51</v>
      </c>
      <c r="B32" s="4">
        <f xml:space="preserve"> 1250 * (B30/B22) - 250</f>
        <v>677.82142857142867</v>
      </c>
    </row>
    <row r="33" spans="1:2" x14ac:dyDescent="0.2">
      <c r="A33" t="s">
        <v>52</v>
      </c>
      <c r="B33">
        <f xml:space="preserve"> IF(B24&lt;=0, 1000, (400*B24/3600) - 200)</f>
        <v>832.85955670410499</v>
      </c>
    </row>
    <row r="34" spans="1:2" x14ac:dyDescent="0.2">
      <c r="A34" t="s">
        <v>53</v>
      </c>
      <c r="B34">
        <f>MIN(B32,B33,1000)</f>
        <v>677.82142857142867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387.32653061224494</v>
      </c>
    </row>
    <row r="38" spans="1:2" x14ac:dyDescent="0.2">
      <c r="A38" t="s">
        <v>57</v>
      </c>
      <c r="B38">
        <f>B34-B37</f>
        <v>290.49489795918373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C04D-E8ED-3B4B-BAA2-29BC8FCBFB35}">
  <dimension ref="A1:I38"/>
  <sheetViews>
    <sheetView workbookViewId="0">
      <selection activeCell="A14" sqref="A14:XFD14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17</v>
      </c>
      <c r="B2" t="str">
        <f>_xlfn.XLOOKUP(Day_8[[#This Row],[Glider]],Sheet1!$A$2:$A$16,Sheet1!$C$2:$C$16)</f>
        <v>David Jansen</v>
      </c>
      <c r="C2">
        <v>118.25</v>
      </c>
      <c r="D2">
        <v>420.04</v>
      </c>
      <c r="E2" t="b">
        <f>TRUE</f>
        <v>1</v>
      </c>
      <c r="F2">
        <f t="shared" ref="F2:F15" si="0">IF(E2, $B$37 * MAX(0, (C2 - 2/3*$B$23) / (1/3*$B$23)), 0)</f>
        <v>666.66666666666674</v>
      </c>
      <c r="G2" s="4">
        <f t="shared" ref="G2:G15" si="1">IF(E2, $B$38, $B$38 * (D2/$B$30))</f>
        <v>333.33333333333337</v>
      </c>
      <c r="H2" s="5">
        <f>Day_8[[#This Row],[Speed Pt]]+Day_8[[#This Row],[Dist Pt]]</f>
        <v>1000.0000000000001</v>
      </c>
      <c r="I2">
        <v>0</v>
      </c>
    </row>
    <row r="3" spans="1:9" x14ac:dyDescent="0.2">
      <c r="A3" t="s">
        <v>8</v>
      </c>
      <c r="B3" t="str">
        <f>_xlfn.XLOOKUP(Day_8[[#This Row],[Glider]],Sheet1!$A$2:$A$16,Sheet1!$C$2:$C$16)</f>
        <v>Sebastian Kawa</v>
      </c>
      <c r="C3">
        <v>116.94</v>
      </c>
      <c r="D3">
        <v>415.91</v>
      </c>
      <c r="E3" t="b">
        <f>TRUE</f>
        <v>1</v>
      </c>
      <c r="F3">
        <f t="shared" si="0"/>
        <v>644.51021846370691</v>
      </c>
      <c r="G3">
        <f t="shared" si="1"/>
        <v>333.33333333333337</v>
      </c>
      <c r="H3" s="5">
        <f>Day_8[[#This Row],[Speed Pt]]+Day_8[[#This Row],[Dist Pt]]</f>
        <v>977.84355179704028</v>
      </c>
      <c r="I3">
        <v>0</v>
      </c>
    </row>
    <row r="4" spans="1:9" x14ac:dyDescent="0.2">
      <c r="A4" t="s">
        <v>11</v>
      </c>
      <c r="B4" t="str">
        <f>_xlfn.XLOOKUP(Day_8[[#This Row],[Glider]],Sheet1!$A$2:$A$16,Sheet1!$C$2:$C$16)</f>
        <v>Russell Cheetham</v>
      </c>
      <c r="C4">
        <v>116.7</v>
      </c>
      <c r="D4">
        <v>412.62</v>
      </c>
      <c r="E4" t="b">
        <f>TRUE</f>
        <v>1</v>
      </c>
      <c r="F4">
        <f t="shared" si="0"/>
        <v>640.45102184637074</v>
      </c>
      <c r="G4">
        <f t="shared" si="1"/>
        <v>333.33333333333337</v>
      </c>
      <c r="H4" s="5">
        <f>Day_8[[#This Row],[Speed Pt]]+Day_8[[#This Row],[Dist Pt]]</f>
        <v>973.78435517970411</v>
      </c>
      <c r="I4">
        <v>0</v>
      </c>
    </row>
    <row r="5" spans="1:9" x14ac:dyDescent="0.2">
      <c r="A5" s="3" t="s">
        <v>40</v>
      </c>
      <c r="B5" t="str">
        <f>_xlfn.XLOOKUP(Day_8[[#This Row],[Glider]],Sheet1!$A$2:$A$16,Sheet1!$C$2:$C$16)</f>
        <v>Laurent Aboulin</v>
      </c>
      <c r="C5">
        <v>114.17</v>
      </c>
      <c r="D5">
        <v>409.85</v>
      </c>
      <c r="E5" t="b">
        <f>TRUE</f>
        <v>1</v>
      </c>
      <c r="F5">
        <f t="shared" si="0"/>
        <v>597.6603241719522</v>
      </c>
      <c r="G5">
        <f t="shared" si="1"/>
        <v>333.33333333333337</v>
      </c>
      <c r="H5" s="5">
        <f>Day_8[[#This Row],[Speed Pt]]+Day_8[[#This Row],[Dist Pt]]</f>
        <v>930.99365750528557</v>
      </c>
      <c r="I5">
        <v>0</v>
      </c>
    </row>
    <row r="6" spans="1:9" x14ac:dyDescent="0.2">
      <c r="A6" t="s">
        <v>6</v>
      </c>
      <c r="B6" t="str">
        <f>_xlfn.XLOOKUP(Day_8[[#This Row],[Glider]],Sheet1!$A$2:$A$16,Sheet1!$C$2:$C$16)</f>
        <v>Felipe Levin</v>
      </c>
      <c r="C6">
        <v>113.42</v>
      </c>
      <c r="D6">
        <v>399.68</v>
      </c>
      <c r="E6" t="b">
        <f>TRUE</f>
        <v>1</v>
      </c>
      <c r="F6">
        <f t="shared" si="0"/>
        <v>584.97533474277679</v>
      </c>
      <c r="G6">
        <f t="shared" si="1"/>
        <v>333.33333333333337</v>
      </c>
      <c r="H6" s="5">
        <f>Day_8[[#This Row],[Speed Pt]]+Day_8[[#This Row],[Dist Pt]]</f>
        <v>918.30866807611017</v>
      </c>
      <c r="I6">
        <v>0</v>
      </c>
    </row>
    <row r="7" spans="1:9" x14ac:dyDescent="0.2">
      <c r="A7" t="s">
        <v>7</v>
      </c>
      <c r="B7" t="str">
        <f>_xlfn.XLOOKUP(Day_8[[#This Row],[Glider]],Sheet1!$A$2:$A$16,Sheet1!$C$2:$C$16)</f>
        <v>Michael Sommer</v>
      </c>
      <c r="C7">
        <v>113.19</v>
      </c>
      <c r="D7">
        <v>399.58</v>
      </c>
      <c r="E7" t="b">
        <f>TRUE</f>
        <v>1</v>
      </c>
      <c r="F7">
        <f t="shared" si="0"/>
        <v>581.08527131782955</v>
      </c>
      <c r="G7">
        <f t="shared" si="1"/>
        <v>333.33333333333337</v>
      </c>
      <c r="H7" s="5">
        <f>Day_8[[#This Row],[Speed Pt]]+Day_8[[#This Row],[Dist Pt]]</f>
        <v>914.41860465116292</v>
      </c>
      <c r="I7">
        <v>0</v>
      </c>
    </row>
    <row r="8" spans="1:9" x14ac:dyDescent="0.2">
      <c r="A8" t="s">
        <v>14</v>
      </c>
      <c r="B8" t="str">
        <f>_xlfn.XLOOKUP(Day_8[[#This Row],[Glider]],Sheet1!$A$2:$A$16,Sheet1!$C$2:$C$16)</f>
        <v>Bas Seijffert</v>
      </c>
      <c r="C8">
        <v>110.76</v>
      </c>
      <c r="D8">
        <v>396.03</v>
      </c>
      <c r="E8" t="b">
        <f>TRUE</f>
        <v>1</v>
      </c>
      <c r="F8">
        <f t="shared" si="0"/>
        <v>539.98590556730107</v>
      </c>
      <c r="G8">
        <f t="shared" si="1"/>
        <v>333.33333333333337</v>
      </c>
      <c r="H8" s="5">
        <f>Day_8[[#This Row],[Speed Pt]]+Day_8[[#This Row],[Dist Pt]]</f>
        <v>873.31923890063445</v>
      </c>
      <c r="I8">
        <v>0</v>
      </c>
    </row>
    <row r="9" spans="1:9" x14ac:dyDescent="0.2">
      <c r="A9" t="s">
        <v>9</v>
      </c>
      <c r="B9" t="str">
        <f>_xlfn.XLOOKUP(Day_8[[#This Row],[Glider]],Sheet1!$A$2:$A$16,Sheet1!$C$2:$C$16)</f>
        <v>Tomas Rendla</v>
      </c>
      <c r="C9">
        <v>110.7</v>
      </c>
      <c r="D9">
        <v>396.16</v>
      </c>
      <c r="E9" t="b">
        <f>IF(Day_8[[#This Row],[Speed]]&gt;0,TRUE,FALSE)</f>
        <v>1</v>
      </c>
      <c r="F9">
        <f t="shared" si="0"/>
        <v>538.97110641296706</v>
      </c>
      <c r="G9">
        <f t="shared" si="1"/>
        <v>333.33333333333337</v>
      </c>
      <c r="H9" s="5">
        <f>Day_8[[#This Row],[Speed Pt]]+Day_8[[#This Row],[Dist Pt]]</f>
        <v>872.30443974630043</v>
      </c>
      <c r="I9">
        <v>0</v>
      </c>
    </row>
    <row r="10" spans="1:9" x14ac:dyDescent="0.2">
      <c r="A10" s="3" t="s">
        <v>41</v>
      </c>
      <c r="B10" t="str">
        <f>_xlfn.XLOOKUP(Day_8[[#This Row],[Glider]],Sheet1!$A$2:$A$16,Sheet1!$C$2:$C$16)</f>
        <v>Sylvain Gerbaud</v>
      </c>
      <c r="C10">
        <v>107.2</v>
      </c>
      <c r="D10">
        <v>381.02</v>
      </c>
      <c r="E10" t="b">
        <f>IF(Day_8[[#This Row],[Speed]]&gt;0,TRUE,FALSE)</f>
        <v>1</v>
      </c>
      <c r="F10">
        <f t="shared" si="0"/>
        <v>479.7744890768148</v>
      </c>
      <c r="G10">
        <f t="shared" si="1"/>
        <v>333.33333333333337</v>
      </c>
      <c r="H10" s="5">
        <f>Day_8[[#This Row],[Speed Pt]]+Day_8[[#This Row],[Dist Pt]]</f>
        <v>813.10782241014817</v>
      </c>
      <c r="I10">
        <v>0</v>
      </c>
    </row>
    <row r="11" spans="1:9" x14ac:dyDescent="0.2">
      <c r="A11" t="s">
        <v>12</v>
      </c>
      <c r="B11" t="str">
        <f>_xlfn.XLOOKUP(Day_8[[#This Row],[Glider]],Sheet1!$A$2:$A$16,Sheet1!$C$2:$C$16)</f>
        <v>Max Leenders</v>
      </c>
      <c r="C11">
        <v>104.02</v>
      </c>
      <c r="D11">
        <v>370.82</v>
      </c>
      <c r="E11" t="b">
        <f>IF(Day_8[[#This Row],[Speed]]&gt;0,TRUE,FALSE)</f>
        <v>1</v>
      </c>
      <c r="F11">
        <f t="shared" si="0"/>
        <v>425.99013389711064</v>
      </c>
      <c r="G11">
        <f t="shared" si="1"/>
        <v>333.33333333333337</v>
      </c>
      <c r="H11" s="5">
        <f>Day_8[[#This Row],[Speed Pt]]+Day_8[[#This Row],[Dist Pt]]</f>
        <v>759.32346723044407</v>
      </c>
      <c r="I11">
        <v>0</v>
      </c>
    </row>
    <row r="12" spans="1:9" x14ac:dyDescent="0.2">
      <c r="A12" t="s">
        <v>13</v>
      </c>
      <c r="B12" t="str">
        <f>_xlfn.XLOOKUP(Day_8[[#This Row],[Glider]],Sheet1!$A$2:$A$16,Sheet1!$C$2:$C$16)</f>
        <v>Jiri Kusbach</v>
      </c>
      <c r="C12">
        <v>103.53</v>
      </c>
      <c r="D12">
        <v>377.3</v>
      </c>
      <c r="E12" t="b">
        <f>IF(Day_8[[#This Row],[Speed]]&gt;0,TRUE,FALSE)</f>
        <v>1</v>
      </c>
      <c r="F12">
        <f t="shared" si="0"/>
        <v>417.70260747004943</v>
      </c>
      <c r="G12">
        <f t="shared" si="1"/>
        <v>333.33333333333337</v>
      </c>
      <c r="H12" s="5">
        <f>Day_8[[#This Row],[Speed Pt]]+Day_8[[#This Row],[Dist Pt]]</f>
        <v>751.0359408033828</v>
      </c>
      <c r="I12">
        <v>0</v>
      </c>
    </row>
    <row r="13" spans="1:9" x14ac:dyDescent="0.2">
      <c r="A13" t="s">
        <v>15</v>
      </c>
      <c r="B13" t="str">
        <f>_xlfn.XLOOKUP(Day_8[[#This Row],[Glider]],Sheet1!$A$2:$A$16,Sheet1!$C$2:$C$16)</f>
        <v>Oscar Goudriaan</v>
      </c>
      <c r="C13">
        <v>99.19</v>
      </c>
      <c r="D13">
        <v>354.09</v>
      </c>
      <c r="E13" t="b">
        <f>IF(Day_8[[#This Row],[Speed]]&gt;0,TRUE,FALSE)</f>
        <v>1</v>
      </c>
      <c r="F13">
        <f t="shared" si="0"/>
        <v>344.29880197322063</v>
      </c>
      <c r="G13">
        <f t="shared" si="1"/>
        <v>333.33333333333337</v>
      </c>
      <c r="H13" s="5">
        <f>Day_8[[#This Row],[Speed Pt]]+Day_8[[#This Row],[Dist Pt]]</f>
        <v>677.63213530655401</v>
      </c>
      <c r="I13">
        <v>0</v>
      </c>
    </row>
    <row r="14" spans="1:9" x14ac:dyDescent="0.2">
      <c r="A14" t="s">
        <v>10</v>
      </c>
      <c r="B14" t="str">
        <f>_xlfn.XLOOKUP(Day_8[[#This Row],[Glider]],Sheet1!$A$2:$A$16,Sheet1!$C$2:$C$16)</f>
        <v>Pierre de Broqueville</v>
      </c>
      <c r="C14">
        <v>95.94</v>
      </c>
      <c r="D14">
        <v>358.75</v>
      </c>
      <c r="E14" t="b">
        <f>IF(Day_8[[#This Row],[Speed]]&gt;0,TRUE,FALSE)</f>
        <v>1</v>
      </c>
      <c r="F14">
        <f t="shared" si="0"/>
        <v>289.33051444679359</v>
      </c>
      <c r="G14">
        <f t="shared" si="1"/>
        <v>333.33333333333337</v>
      </c>
      <c r="H14" s="5">
        <f>Day_8[[#This Row],[Speed Pt]]+Day_8[[#This Row],[Dist Pt]]</f>
        <v>622.66384778012696</v>
      </c>
      <c r="I14">
        <v>0</v>
      </c>
    </row>
    <row r="15" spans="1:9" x14ac:dyDescent="0.2">
      <c r="A15" t="s">
        <v>16</v>
      </c>
      <c r="B15" t="str">
        <f>_xlfn.XLOOKUP(Day_8[[#This Row],[Glider]],Sheet1!$A$2:$A$16,Sheet1!$C$2:$C$16)</f>
        <v>Christian Hynek</v>
      </c>
      <c r="C15">
        <v>95.84</v>
      </c>
      <c r="D15">
        <v>339.05</v>
      </c>
      <c r="E15" t="b">
        <f>IF(Day_8[[#This Row],[Speed]]&gt;0,TRUE,FALSE)</f>
        <v>1</v>
      </c>
      <c r="F15">
        <f t="shared" si="0"/>
        <v>287.63918252290358</v>
      </c>
      <c r="G15">
        <f t="shared" si="1"/>
        <v>333.33333333333337</v>
      </c>
      <c r="H15" s="5">
        <f>Day_8[[#This Row],[Speed Pt]]+Day_8[[#This Row],[Dist Pt]]</f>
        <v>620.9725158562369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118.25</v>
      </c>
    </row>
    <row r="24" spans="1:2" x14ac:dyDescent="0.2">
      <c r="A24" t="s">
        <v>45</v>
      </c>
      <c r="B24">
        <f>D2/C2*3600</f>
        <v>12787.68710359408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14</v>
      </c>
    </row>
    <row r="29" spans="1:2" x14ac:dyDescent="0.2">
      <c r="A29" t="s">
        <v>49</v>
      </c>
      <c r="B29">
        <f>COUNTIFS(E2:E15, TRUE, C2:C15, "&gt;" &amp; 2/3*$B$23)</f>
        <v>14</v>
      </c>
    </row>
    <row r="30" spans="1:2" x14ac:dyDescent="0.2">
      <c r="A30" t="s">
        <v>50</v>
      </c>
      <c r="B30">
        <f>MAX(D2:D15)</f>
        <v>420.04</v>
      </c>
    </row>
    <row r="32" spans="1:2" ht="17" x14ac:dyDescent="0.25">
      <c r="A32" t="s">
        <v>51</v>
      </c>
      <c r="B32" s="4">
        <f xml:space="preserve"> 1250 * (B30/B22) - 250</f>
        <v>1250.1428571428571</v>
      </c>
    </row>
    <row r="33" spans="1:2" x14ac:dyDescent="0.2">
      <c r="A33" t="s">
        <v>52</v>
      </c>
      <c r="B33">
        <f xml:space="preserve"> IF(B24&lt;=0, 1000, (400*B24/3600) - 200)</f>
        <v>1220.8541226215646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666.66666666666663</v>
      </c>
    </row>
    <row r="38" spans="1:2" x14ac:dyDescent="0.2">
      <c r="A38" t="s">
        <v>57</v>
      </c>
      <c r="B38">
        <f>B34-B37</f>
        <v>333.33333333333337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B423-F34D-D642-A584-BC7BD84357D7}">
  <dimension ref="A1:I38"/>
  <sheetViews>
    <sheetView workbookViewId="0">
      <selection activeCell="A15" sqref="A15:XFD15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6</v>
      </c>
      <c r="B2" t="str">
        <f>_xlfn.XLOOKUP(Day_9[[#This Row],[Glider]],Sheet1!$A$2:$A$16,Sheet1!$C$2:$C$16)</f>
        <v>Felipe Levin</v>
      </c>
      <c r="C2">
        <v>143.19999999999999</v>
      </c>
      <c r="D2">
        <v>848.08</v>
      </c>
      <c r="E2" t="b">
        <f>TRUE</f>
        <v>1</v>
      </c>
      <c r="F2">
        <f t="shared" ref="F2:F15" si="0">IF(E2, $B$37 * MAX(0, (C2 - 2/3*$B$23) / (1/3*$B$23)), 0)</f>
        <v>619.04761904761915</v>
      </c>
      <c r="G2" s="4">
        <f t="shared" ref="G2:G15" si="1">IF(E2, $B$38, $B$38 * (D2/$B$30))</f>
        <v>380.95238095238096</v>
      </c>
      <c r="H2" s="5">
        <f>Day_9[[#This Row],[Speed Pt]]+Day_9[[#This Row],[Dist Pt]]</f>
        <v>1000.0000000000001</v>
      </c>
      <c r="I2">
        <v>0</v>
      </c>
    </row>
    <row r="3" spans="1:9" x14ac:dyDescent="0.2">
      <c r="A3" t="s">
        <v>8</v>
      </c>
      <c r="B3" t="str">
        <f>_xlfn.XLOOKUP(Day_9[[#This Row],[Glider]],Sheet1!$A$2:$A$16,Sheet1!$C$2:$C$16)</f>
        <v>Sebastian Kawa</v>
      </c>
      <c r="C3">
        <v>139.4</v>
      </c>
      <c r="D3">
        <v>848.08</v>
      </c>
      <c r="E3" t="b">
        <f>TRUE</f>
        <v>1</v>
      </c>
      <c r="F3">
        <f t="shared" si="0"/>
        <v>569.76589518488993</v>
      </c>
      <c r="G3">
        <f t="shared" si="1"/>
        <v>380.95238095238096</v>
      </c>
      <c r="H3" s="5">
        <f>Day_9[[#This Row],[Speed Pt]]+Day_9[[#This Row],[Dist Pt]]</f>
        <v>950.71827613727089</v>
      </c>
      <c r="I3">
        <v>0</v>
      </c>
    </row>
    <row r="4" spans="1:9" x14ac:dyDescent="0.2">
      <c r="A4" t="s">
        <v>7</v>
      </c>
      <c r="B4" t="str">
        <f>_xlfn.XLOOKUP(Day_9[[#This Row],[Glider]],Sheet1!$A$2:$A$16,Sheet1!$C$2:$C$16)</f>
        <v>Michael Sommer</v>
      </c>
      <c r="C4">
        <v>139.16</v>
      </c>
      <c r="D4">
        <v>848.08</v>
      </c>
      <c r="E4" t="b">
        <f>TRUE</f>
        <v>1</v>
      </c>
      <c r="F4">
        <f t="shared" si="0"/>
        <v>566.65336525671739</v>
      </c>
      <c r="G4">
        <f t="shared" si="1"/>
        <v>380.95238095238096</v>
      </c>
      <c r="H4" s="5">
        <f>Day_9[[#This Row],[Speed Pt]]+Day_9[[#This Row],[Dist Pt]]</f>
        <v>947.60574620909836</v>
      </c>
      <c r="I4">
        <v>0</v>
      </c>
    </row>
    <row r="5" spans="1:9" x14ac:dyDescent="0.2">
      <c r="A5" s="3" t="s">
        <v>40</v>
      </c>
      <c r="B5" t="str">
        <f>_xlfn.XLOOKUP(Day_9[[#This Row],[Glider]],Sheet1!$A$2:$A$16,Sheet1!$C$2:$C$16)</f>
        <v>Laurent Aboulin</v>
      </c>
      <c r="C5">
        <v>139.11000000000001</v>
      </c>
      <c r="D5">
        <v>848.08</v>
      </c>
      <c r="E5" t="b">
        <f>TRUE</f>
        <v>1</v>
      </c>
      <c r="F5">
        <f t="shared" si="0"/>
        <v>566.00492152168169</v>
      </c>
      <c r="G5">
        <f t="shared" si="1"/>
        <v>380.95238095238096</v>
      </c>
      <c r="H5" s="5">
        <f>Day_9[[#This Row],[Speed Pt]]+Day_9[[#This Row],[Dist Pt]]</f>
        <v>946.95730247406266</v>
      </c>
      <c r="I5">
        <v>0</v>
      </c>
    </row>
    <row r="6" spans="1:9" x14ac:dyDescent="0.2">
      <c r="A6" s="3" t="s">
        <v>41</v>
      </c>
      <c r="B6" t="str">
        <f>_xlfn.XLOOKUP(Day_9[[#This Row],[Glider]],Sheet1!$A$2:$A$16,Sheet1!$C$2:$C$16)</f>
        <v>Sylvain Gerbaud</v>
      </c>
      <c r="C6">
        <v>138.56</v>
      </c>
      <c r="D6">
        <v>848.08</v>
      </c>
      <c r="E6" t="b">
        <f>TRUE</f>
        <v>1</v>
      </c>
      <c r="F6">
        <f t="shared" si="0"/>
        <v>558.87204043628651</v>
      </c>
      <c r="G6">
        <f t="shared" si="1"/>
        <v>380.95238095238096</v>
      </c>
      <c r="H6" s="5">
        <f>Day_9[[#This Row],[Speed Pt]]+Day_9[[#This Row],[Dist Pt]]</f>
        <v>939.82442138866747</v>
      </c>
      <c r="I6">
        <v>0</v>
      </c>
    </row>
    <row r="7" spans="1:9" x14ac:dyDescent="0.2">
      <c r="A7" t="s">
        <v>17</v>
      </c>
      <c r="B7" t="str">
        <f>_xlfn.XLOOKUP(Day_9[[#This Row],[Glider]],Sheet1!$A$2:$A$16,Sheet1!$C$2:$C$16)</f>
        <v>David Jansen</v>
      </c>
      <c r="C7">
        <v>137.69999999999999</v>
      </c>
      <c r="D7">
        <v>848.08</v>
      </c>
      <c r="E7" t="b">
        <f>TRUE</f>
        <v>1</v>
      </c>
      <c r="F7">
        <f t="shared" si="0"/>
        <v>547.71880819366856</v>
      </c>
      <c r="G7">
        <f t="shared" si="1"/>
        <v>380.95238095238096</v>
      </c>
      <c r="H7" s="5">
        <f>Day_9[[#This Row],[Speed Pt]]+Day_9[[#This Row],[Dist Pt]]</f>
        <v>928.67118914604953</v>
      </c>
      <c r="I7">
        <v>0</v>
      </c>
    </row>
    <row r="8" spans="1:9" x14ac:dyDescent="0.2">
      <c r="A8" t="s">
        <v>12</v>
      </c>
      <c r="B8" t="str">
        <f>_xlfn.XLOOKUP(Day_9[[#This Row],[Glider]],Sheet1!$A$2:$A$16,Sheet1!$C$2:$C$16)</f>
        <v>Max Leenders</v>
      </c>
      <c r="C8">
        <v>134.13</v>
      </c>
      <c r="D8">
        <v>848.08</v>
      </c>
      <c r="E8" t="b">
        <f>TRUE</f>
        <v>1</v>
      </c>
      <c r="F8">
        <f t="shared" si="0"/>
        <v>501.41992551210444</v>
      </c>
      <c r="G8">
        <f t="shared" si="1"/>
        <v>380.95238095238096</v>
      </c>
      <c r="H8" s="5">
        <f>Day_9[[#This Row],[Speed Pt]]+Day_9[[#This Row],[Dist Pt]]</f>
        <v>882.3723064644854</v>
      </c>
      <c r="I8">
        <v>0</v>
      </c>
    </row>
    <row r="9" spans="1:9" x14ac:dyDescent="0.2">
      <c r="A9" t="s">
        <v>14</v>
      </c>
      <c r="B9" t="str">
        <f>_xlfn.XLOOKUP(Day_9[[#This Row],[Glider]],Sheet1!$A$2:$A$16,Sheet1!$C$2:$C$16)</f>
        <v>Bas Seijffert</v>
      </c>
      <c r="C9">
        <v>134.1</v>
      </c>
      <c r="D9">
        <v>848.08</v>
      </c>
      <c r="E9" t="b">
        <f>IF(Day_9[[#This Row],[Speed]]&gt;0,TRUE,FALSE)</f>
        <v>1</v>
      </c>
      <c r="F9">
        <f t="shared" si="0"/>
        <v>501.03085927108282</v>
      </c>
      <c r="G9">
        <f t="shared" si="1"/>
        <v>380.95238095238096</v>
      </c>
      <c r="H9" s="5">
        <f>Day_9[[#This Row],[Speed Pt]]+Day_9[[#This Row],[Dist Pt]]</f>
        <v>881.98324022346378</v>
      </c>
      <c r="I9">
        <v>0</v>
      </c>
    </row>
    <row r="10" spans="1:9" x14ac:dyDescent="0.2">
      <c r="A10" t="s">
        <v>15</v>
      </c>
      <c r="B10" t="str">
        <f>_xlfn.XLOOKUP(Day_9[[#This Row],[Glider]],Sheet1!$A$2:$A$16,Sheet1!$C$2:$C$16)</f>
        <v>Oscar Goudriaan</v>
      </c>
      <c r="C10">
        <v>133.30000000000001</v>
      </c>
      <c r="D10">
        <v>848.08</v>
      </c>
      <c r="E10" t="b">
        <f>IF(Day_9[[#This Row],[Speed]]&gt;0,TRUE,FALSE)</f>
        <v>1</v>
      </c>
      <c r="F10">
        <f t="shared" si="0"/>
        <v>490.65575951050846</v>
      </c>
      <c r="G10">
        <f t="shared" si="1"/>
        <v>380.95238095238096</v>
      </c>
      <c r="H10" s="5">
        <f>Day_9[[#This Row],[Speed Pt]]+Day_9[[#This Row],[Dist Pt]]</f>
        <v>871.60814046288942</v>
      </c>
      <c r="I10">
        <v>0</v>
      </c>
    </row>
    <row r="11" spans="1:9" x14ac:dyDescent="0.2">
      <c r="A11" t="s">
        <v>10</v>
      </c>
      <c r="B11" t="str">
        <f>_xlfn.XLOOKUP(Day_9[[#This Row],[Glider]],Sheet1!$A$2:$A$16,Sheet1!$C$2:$C$16)</f>
        <v>Pierre de Broqueville</v>
      </c>
      <c r="C11">
        <v>133.07</v>
      </c>
      <c r="D11">
        <v>848.08</v>
      </c>
      <c r="E11" t="b">
        <f>IF(Day_9[[#This Row],[Speed]]&gt;0,TRUE,FALSE)</f>
        <v>1</v>
      </c>
      <c r="F11">
        <f t="shared" si="0"/>
        <v>487.67291832934308</v>
      </c>
      <c r="G11">
        <f t="shared" si="1"/>
        <v>380.95238095238096</v>
      </c>
      <c r="H11" s="5">
        <f>Day_9[[#This Row],[Speed Pt]]+Day_9[[#This Row],[Dist Pt]]</f>
        <v>868.62529928172398</v>
      </c>
      <c r="I11">
        <v>0</v>
      </c>
    </row>
    <row r="12" spans="1:9" x14ac:dyDescent="0.2">
      <c r="A12" t="s">
        <v>11</v>
      </c>
      <c r="B12" t="str">
        <f>_xlfn.XLOOKUP(Day_9[[#This Row],[Glider]],Sheet1!$A$2:$A$16,Sheet1!$C$2:$C$16)</f>
        <v>Russell Cheetham</v>
      </c>
      <c r="C12">
        <v>132.41</v>
      </c>
      <c r="D12">
        <v>848.08</v>
      </c>
      <c r="E12" t="b">
        <f>IF(Day_9[[#This Row],[Speed]]&gt;0,TRUE,FALSE)</f>
        <v>1</v>
      </c>
      <c r="F12">
        <f t="shared" si="0"/>
        <v>479.113461026869</v>
      </c>
      <c r="G12">
        <f t="shared" si="1"/>
        <v>380.95238095238096</v>
      </c>
      <c r="H12" s="5">
        <f>Day_9[[#This Row],[Speed Pt]]+Day_9[[#This Row],[Dist Pt]]</f>
        <v>860.06584197924997</v>
      </c>
      <c r="I12">
        <v>0</v>
      </c>
    </row>
    <row r="13" spans="1:9" x14ac:dyDescent="0.2">
      <c r="A13" t="s">
        <v>9</v>
      </c>
      <c r="B13" t="str">
        <f>_xlfn.XLOOKUP(Day_9[[#This Row],[Glider]],Sheet1!$A$2:$A$16,Sheet1!$C$2:$C$16)</f>
        <v>Tomas Rendla</v>
      </c>
      <c r="C13">
        <v>132.11000000000001</v>
      </c>
      <c r="D13">
        <v>848.08</v>
      </c>
      <c r="E13" t="b">
        <f>IF(Day_9[[#This Row],[Speed]]&gt;0,TRUE,FALSE)</f>
        <v>1</v>
      </c>
      <c r="F13">
        <f t="shared" si="0"/>
        <v>475.22279861665373</v>
      </c>
      <c r="G13">
        <f t="shared" si="1"/>
        <v>380.95238095238096</v>
      </c>
      <c r="H13" s="5">
        <f>Day_9[[#This Row],[Speed Pt]]+Day_9[[#This Row],[Dist Pt]]</f>
        <v>856.17517956903475</v>
      </c>
      <c r="I13">
        <v>0</v>
      </c>
    </row>
    <row r="14" spans="1:9" x14ac:dyDescent="0.2">
      <c r="A14" t="s">
        <v>13</v>
      </c>
      <c r="B14" t="str">
        <f>_xlfn.XLOOKUP(Day_9[[#This Row],[Glider]],Sheet1!$A$2:$A$16,Sheet1!$C$2:$C$16)</f>
        <v>Jiri Kusbach</v>
      </c>
      <c r="C14">
        <v>128.38999999999999</v>
      </c>
      <c r="D14">
        <v>848.08</v>
      </c>
      <c r="E14" t="b">
        <f>IF(Day_9[[#This Row],[Speed]]&gt;0,TRUE,FALSE)</f>
        <v>1</v>
      </c>
      <c r="F14">
        <f t="shared" si="0"/>
        <v>426.97858472998143</v>
      </c>
      <c r="G14">
        <f t="shared" si="1"/>
        <v>380.95238095238096</v>
      </c>
      <c r="H14" s="5">
        <f>Day_9[[#This Row],[Speed Pt]]+Day_9[[#This Row],[Dist Pt]]</f>
        <v>807.9309656823624</v>
      </c>
      <c r="I14">
        <v>0</v>
      </c>
    </row>
    <row r="15" spans="1:9" x14ac:dyDescent="0.2">
      <c r="A15" t="s">
        <v>16</v>
      </c>
      <c r="B15" t="str">
        <f>_xlfn.XLOOKUP(Day_9[[#This Row],[Glider]],Sheet1!$A$2:$A$16,Sheet1!$C$2:$C$16)</f>
        <v>Christian Hynek</v>
      </c>
      <c r="D15">
        <v>778.08</v>
      </c>
      <c r="E15" t="b">
        <f>IF(Day_9[[#This Row],[Speed]]&gt;0,TRUE,FALSE)</f>
        <v>0</v>
      </c>
      <c r="F15">
        <f t="shared" si="0"/>
        <v>0</v>
      </c>
      <c r="G15">
        <f t="shared" si="1"/>
        <v>349.50880644683116</v>
      </c>
      <c r="H15" s="5">
        <f>Day_9[[#This Row],[Speed Pt]]+Day_9[[#This Row],[Dist Pt]]</f>
        <v>349.50880644683116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143.19999999999999</v>
      </c>
    </row>
    <row r="24" spans="1:2" x14ac:dyDescent="0.2">
      <c r="A24" t="s">
        <v>45</v>
      </c>
      <c r="B24">
        <f>D2/C2*3600</f>
        <v>21320.446927374305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13</v>
      </c>
    </row>
    <row r="30" spans="1:2" x14ac:dyDescent="0.2">
      <c r="A30" t="s">
        <v>50</v>
      </c>
      <c r="B30">
        <f>MAX(D2:D15)</f>
        <v>848.08</v>
      </c>
    </row>
    <row r="32" spans="1:2" ht="17" x14ac:dyDescent="0.25">
      <c r="A32" t="s">
        <v>51</v>
      </c>
      <c r="B32" s="4">
        <f xml:space="preserve"> 1250 * (B30/B22) - 250</f>
        <v>2778.8571428571431</v>
      </c>
    </row>
    <row r="33" spans="1:2" x14ac:dyDescent="0.2">
      <c r="A33" t="s">
        <v>52</v>
      </c>
      <c r="B33">
        <f xml:space="preserve"> IF(B24&lt;=0, 1000, (400*B24/3600) - 200)</f>
        <v>2168.9385474860337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619.04761904761904</v>
      </c>
    </row>
    <row r="38" spans="1:2" x14ac:dyDescent="0.2">
      <c r="A38" t="s">
        <v>57</v>
      </c>
      <c r="B38">
        <f>B34-B37</f>
        <v>380.95238095238096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0776-A045-5345-BCB7-C0BCCE2C5DB3}">
  <dimension ref="A1:I38"/>
  <sheetViews>
    <sheetView workbookViewId="0">
      <selection activeCell="A15" sqref="A15:XFD15"/>
    </sheetView>
  </sheetViews>
  <sheetFormatPr baseColWidth="10" defaultRowHeight="16" x14ac:dyDescent="0.2"/>
  <cols>
    <col min="2" max="2" width="18.5" customWidth="1"/>
    <col min="4" max="4" width="11" customWidth="1"/>
    <col min="8" max="8" width="1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5</v>
      </c>
    </row>
    <row r="2" spans="1:9" ht="17" x14ac:dyDescent="0.25">
      <c r="A2" t="s">
        <v>8</v>
      </c>
      <c r="B2" t="str">
        <f>_xlfn.XLOOKUP(Day_10[[#This Row],[Glider]],Sheet1!$A$2:$A$16,Sheet1!$C$2:$C$16)</f>
        <v>Sebastian Kawa</v>
      </c>
      <c r="C2" s="7">
        <v>135.19</v>
      </c>
      <c r="D2" s="7">
        <v>432.12</v>
      </c>
      <c r="E2" t="b">
        <f>TRUE</f>
        <v>1</v>
      </c>
      <c r="F2">
        <f t="shared" ref="F2:F15" si="0">IF(E2, $B$37 * MAX(0, (C2 - 2/3*$B$23) / (1/3*$B$23)), 0)</f>
        <v>571.42857142857144</v>
      </c>
      <c r="G2" s="4">
        <f t="shared" ref="G2:G15" si="1">IF(E2, $B$38, $B$38 * (D2/$B$30))</f>
        <v>428.57142857142856</v>
      </c>
      <c r="H2" s="5">
        <f>Day_10[[#This Row],[Speed Pt]]+Day_10[[#This Row],[Dist Pt]]</f>
        <v>1000</v>
      </c>
      <c r="I2">
        <v>0</v>
      </c>
    </row>
    <row r="3" spans="1:9" x14ac:dyDescent="0.2">
      <c r="A3" t="s">
        <v>7</v>
      </c>
      <c r="B3" t="str">
        <f>_xlfn.XLOOKUP(Day_10[[#This Row],[Glider]],Sheet1!$A$2:$A$16,Sheet1!$C$2:$C$16)</f>
        <v>Michael Sommer</v>
      </c>
      <c r="C3" s="7">
        <v>123.62</v>
      </c>
      <c r="D3" s="7">
        <v>389.03</v>
      </c>
      <c r="E3" t="b">
        <f>TRUE</f>
        <v>1</v>
      </c>
      <c r="F3">
        <f t="shared" si="0"/>
        <v>424.71442308708384</v>
      </c>
      <c r="G3">
        <f t="shared" si="1"/>
        <v>428.57142857142856</v>
      </c>
      <c r="H3" s="5">
        <f>Day_10[[#This Row],[Speed Pt]]+Day_10[[#This Row],[Dist Pt]]</f>
        <v>853.28585165851246</v>
      </c>
      <c r="I3">
        <v>0</v>
      </c>
    </row>
    <row r="4" spans="1:9" x14ac:dyDescent="0.2">
      <c r="A4" t="s">
        <v>6</v>
      </c>
      <c r="B4" t="str">
        <f>_xlfn.XLOOKUP(Day_10[[#This Row],[Glider]],Sheet1!$A$2:$A$16,Sheet1!$C$2:$C$16)</f>
        <v>Felipe Levin</v>
      </c>
      <c r="C4" s="7">
        <v>123.45</v>
      </c>
      <c r="D4" s="7">
        <v>389.02</v>
      </c>
      <c r="E4" t="b">
        <f>TRUE</f>
        <v>1</v>
      </c>
      <c r="F4">
        <f t="shared" si="0"/>
        <v>422.55872687117608</v>
      </c>
      <c r="G4">
        <f t="shared" si="1"/>
        <v>428.57142857142856</v>
      </c>
      <c r="H4" s="5">
        <f>Day_10[[#This Row],[Speed Pt]]+Day_10[[#This Row],[Dist Pt]]</f>
        <v>851.13015544260463</v>
      </c>
      <c r="I4">
        <v>0</v>
      </c>
    </row>
    <row r="5" spans="1:9" x14ac:dyDescent="0.2">
      <c r="A5" t="s">
        <v>9</v>
      </c>
      <c r="B5" t="str">
        <f>_xlfn.XLOOKUP(Day_10[[#This Row],[Glider]],Sheet1!$A$2:$A$16,Sheet1!$C$2:$C$16)</f>
        <v>Tomas Rendla</v>
      </c>
      <c r="C5" s="7">
        <v>117.07</v>
      </c>
      <c r="D5" s="7">
        <v>392.6</v>
      </c>
      <c r="E5" t="b">
        <f>TRUE</f>
        <v>1</v>
      </c>
      <c r="F5">
        <f t="shared" si="0"/>
        <v>341.65671594475492</v>
      </c>
      <c r="G5">
        <f t="shared" si="1"/>
        <v>428.57142857142856</v>
      </c>
      <c r="H5" s="5">
        <f>Day_10[[#This Row],[Speed Pt]]+Day_10[[#This Row],[Dist Pt]]</f>
        <v>770.22814451618342</v>
      </c>
      <c r="I5">
        <v>0</v>
      </c>
    </row>
    <row r="6" spans="1:9" x14ac:dyDescent="0.2">
      <c r="A6" s="3" t="s">
        <v>40</v>
      </c>
      <c r="B6" t="str">
        <f>_xlfn.XLOOKUP(Day_10[[#This Row],[Glider]],Sheet1!$A$2:$A$16,Sheet1!$C$2:$C$16)</f>
        <v>Laurent Aboulin</v>
      </c>
      <c r="C6" s="7">
        <v>116.9</v>
      </c>
      <c r="D6" s="7">
        <v>403.08</v>
      </c>
      <c r="E6" t="b">
        <f>TRUE</f>
        <v>1</v>
      </c>
      <c r="F6">
        <f t="shared" si="0"/>
        <v>339.50101972884733</v>
      </c>
      <c r="G6">
        <f t="shared" si="1"/>
        <v>428.57142857142856</v>
      </c>
      <c r="H6" s="5">
        <f>Day_10[[#This Row],[Speed Pt]]+Day_10[[#This Row],[Dist Pt]]</f>
        <v>768.07244830027594</v>
      </c>
      <c r="I6">
        <v>0</v>
      </c>
    </row>
    <row r="7" spans="1:9" x14ac:dyDescent="0.2">
      <c r="A7" s="3" t="s">
        <v>41</v>
      </c>
      <c r="B7" t="str">
        <f>_xlfn.XLOOKUP(Day_10[[#This Row],[Glider]],Sheet1!$A$2:$A$16,Sheet1!$C$2:$C$16)</f>
        <v>Sylvain Gerbaud</v>
      </c>
      <c r="C7" s="7">
        <v>116.89</v>
      </c>
      <c r="D7" s="7">
        <v>403.86</v>
      </c>
      <c r="E7" t="b">
        <f>TRUE</f>
        <v>1</v>
      </c>
      <c r="F7">
        <f t="shared" si="0"/>
        <v>339.374214069088</v>
      </c>
      <c r="G7">
        <f t="shared" si="1"/>
        <v>428.57142857142856</v>
      </c>
      <c r="H7" s="5">
        <f>Day_10[[#This Row],[Speed Pt]]+Day_10[[#This Row],[Dist Pt]]</f>
        <v>767.94564264051655</v>
      </c>
      <c r="I7">
        <v>0</v>
      </c>
    </row>
    <row r="8" spans="1:9" x14ac:dyDescent="0.2">
      <c r="A8" t="s">
        <v>11</v>
      </c>
      <c r="B8" t="str">
        <f>_xlfn.XLOOKUP(Day_10[[#This Row],[Glider]],Sheet1!$A$2:$A$16,Sheet1!$C$2:$C$16)</f>
        <v>Russell Cheetham</v>
      </c>
      <c r="C8" s="7">
        <v>109.23</v>
      </c>
      <c r="D8" s="7">
        <v>410.7</v>
      </c>
      <c r="E8" t="b">
        <f>TRUE</f>
        <v>1</v>
      </c>
      <c r="F8">
        <f t="shared" si="0"/>
        <v>242.2410786934791</v>
      </c>
      <c r="G8">
        <f t="shared" si="1"/>
        <v>428.57142857142856</v>
      </c>
      <c r="H8" s="5">
        <f>Day_10[[#This Row],[Speed Pt]]+Day_10[[#This Row],[Dist Pt]]</f>
        <v>670.81250726490771</v>
      </c>
      <c r="I8">
        <v>0</v>
      </c>
    </row>
    <row r="9" spans="1:9" x14ac:dyDescent="0.2">
      <c r="A9" t="s">
        <v>10</v>
      </c>
      <c r="B9" t="str">
        <f>_xlfn.XLOOKUP(Day_10[[#This Row],[Glider]],Sheet1!$A$2:$A$16,Sheet1!$C$2:$C$16)</f>
        <v>Pierre de Broqueville</v>
      </c>
      <c r="C9" s="7">
        <v>108.04</v>
      </c>
      <c r="D9" s="7">
        <v>405.98</v>
      </c>
      <c r="E9" t="b">
        <f>IF(Day_10[[#This Row],[Speed]]&gt;0,TRUE,FALSE)</f>
        <v>1</v>
      </c>
      <c r="F9">
        <f t="shared" si="0"/>
        <v>227.15120518212473</v>
      </c>
      <c r="G9">
        <f t="shared" si="1"/>
        <v>428.57142857142856</v>
      </c>
      <c r="H9" s="5">
        <f>Day_10[[#This Row],[Speed Pt]]+Day_10[[#This Row],[Dist Pt]]</f>
        <v>655.72263375355328</v>
      </c>
      <c r="I9">
        <v>0</v>
      </c>
    </row>
    <row r="10" spans="1:9" x14ac:dyDescent="0.2">
      <c r="A10" t="s">
        <v>17</v>
      </c>
      <c r="B10" t="str">
        <f>_xlfn.XLOOKUP(Day_10[[#This Row],[Glider]],Sheet1!$A$2:$A$16,Sheet1!$C$2:$C$16)</f>
        <v>David Jansen</v>
      </c>
      <c r="C10" s="7">
        <v>105.96</v>
      </c>
      <c r="D10" s="7">
        <v>393.3</v>
      </c>
      <c r="E10" t="b">
        <f>IF(Day_10[[#This Row],[Speed]]&gt;0,TRUE,FALSE)</f>
        <v>1</v>
      </c>
      <c r="F10">
        <f t="shared" si="0"/>
        <v>200.77562795219421</v>
      </c>
      <c r="G10">
        <f t="shared" si="1"/>
        <v>428.57142857142856</v>
      </c>
      <c r="H10" s="5">
        <f>Day_10[[#This Row],[Speed Pt]]+Day_10[[#This Row],[Dist Pt]]</f>
        <v>629.34705652362277</v>
      </c>
      <c r="I10">
        <v>0</v>
      </c>
    </row>
    <row r="11" spans="1:9" x14ac:dyDescent="0.2">
      <c r="A11" t="s">
        <v>12</v>
      </c>
      <c r="B11" t="str">
        <f>_xlfn.XLOOKUP(Day_10[[#This Row],[Glider]],Sheet1!$A$2:$A$16,Sheet1!$C$2:$C$16)</f>
        <v>Max Leenders</v>
      </c>
      <c r="C11" s="7">
        <v>105.69</v>
      </c>
      <c r="D11" s="7">
        <v>423.99</v>
      </c>
      <c r="E11" t="b">
        <f>IF(Day_10[[#This Row],[Speed]]&gt;0,TRUE,FALSE)</f>
        <v>1</v>
      </c>
      <c r="F11">
        <f t="shared" si="0"/>
        <v>197.35187513869369</v>
      </c>
      <c r="G11">
        <f t="shared" si="1"/>
        <v>428.57142857142856</v>
      </c>
      <c r="H11" s="5">
        <f>Day_10[[#This Row],[Speed Pt]]+Day_10[[#This Row],[Dist Pt]]</f>
        <v>625.92330371012224</v>
      </c>
      <c r="I11">
        <v>0</v>
      </c>
    </row>
    <row r="12" spans="1:9" x14ac:dyDescent="0.2">
      <c r="A12" t="s">
        <v>15</v>
      </c>
      <c r="B12" t="str">
        <f>_xlfn.XLOOKUP(Day_10[[#This Row],[Glider]],Sheet1!$A$2:$A$16,Sheet1!$C$2:$C$16)</f>
        <v>Oscar Goudriaan</v>
      </c>
      <c r="C12" s="7">
        <v>103.61</v>
      </c>
      <c r="D12" s="7">
        <v>396.11</v>
      </c>
      <c r="E12" t="b">
        <f>IF(Day_10[[#This Row],[Speed]]&gt;0,TRUE,FALSE)</f>
        <v>1</v>
      </c>
      <c r="F12">
        <f t="shared" si="0"/>
        <v>170.97629790876337</v>
      </c>
      <c r="G12">
        <f t="shared" si="1"/>
        <v>428.57142857142856</v>
      </c>
      <c r="H12" s="5">
        <f>Day_10[[#This Row],[Speed Pt]]+Day_10[[#This Row],[Dist Pt]]</f>
        <v>599.54772648019195</v>
      </c>
      <c r="I12">
        <v>0</v>
      </c>
    </row>
    <row r="13" spans="1:9" x14ac:dyDescent="0.2">
      <c r="A13" t="s">
        <v>13</v>
      </c>
      <c r="B13" t="str">
        <f>_xlfn.XLOOKUP(Day_10[[#This Row],[Glider]],Sheet1!$A$2:$A$16,Sheet1!$C$2:$C$16)</f>
        <v>Jiri Kusbach</v>
      </c>
      <c r="C13" s="7">
        <v>102.67</v>
      </c>
      <c r="D13" s="7">
        <v>410.41</v>
      </c>
      <c r="E13" t="b">
        <f>IF(Day_10[[#This Row],[Speed]]&gt;0,TRUE,FALSE)</f>
        <v>1</v>
      </c>
      <c r="F13">
        <f t="shared" si="0"/>
        <v>159.05656589139102</v>
      </c>
      <c r="G13">
        <f t="shared" si="1"/>
        <v>428.57142857142856</v>
      </c>
      <c r="H13" s="5">
        <f>Day_10[[#This Row],[Speed Pt]]+Day_10[[#This Row],[Dist Pt]]</f>
        <v>587.62799446281952</v>
      </c>
      <c r="I13">
        <v>0</v>
      </c>
    </row>
    <row r="14" spans="1:9" x14ac:dyDescent="0.2">
      <c r="A14" t="s">
        <v>16</v>
      </c>
      <c r="B14" t="str">
        <f>_xlfn.XLOOKUP(Day_10[[#This Row],[Glider]],Sheet1!$A$2:$A$16,Sheet1!$C$2:$C$16)</f>
        <v>Christian Hynek</v>
      </c>
      <c r="C14" s="7">
        <v>88.76</v>
      </c>
      <c r="D14" s="7">
        <v>409.62</v>
      </c>
      <c r="E14" t="b">
        <f>IF(Day_10[[#This Row],[Speed]]&gt;0,TRUE,FALSE)</f>
        <v>1</v>
      </c>
      <c r="F14">
        <f t="shared" si="0"/>
        <v>0</v>
      </c>
      <c r="G14">
        <f t="shared" si="1"/>
        <v>428.57142857142856</v>
      </c>
      <c r="H14" s="5">
        <f>Day_10[[#This Row],[Speed Pt]]+Day_10[[#This Row],[Dist Pt]]</f>
        <v>428.57142857142856</v>
      </c>
      <c r="I14">
        <v>0</v>
      </c>
    </row>
    <row r="15" spans="1:9" x14ac:dyDescent="0.2">
      <c r="A15" t="s">
        <v>14</v>
      </c>
      <c r="B15" t="str">
        <f>_xlfn.XLOOKUP(Day_10[[#This Row],[Glider]],Sheet1!$A$2:$A$16,Sheet1!$C$2:$C$16)</f>
        <v>Bas Seijffert</v>
      </c>
      <c r="C15" s="7"/>
      <c r="D15" s="7">
        <v>347.53</v>
      </c>
      <c r="E15" t="b">
        <f>IF(Day_10[[#This Row],[Speed]]&gt;0,TRUE,FALSE)</f>
        <v>0</v>
      </c>
      <c r="F15">
        <f t="shared" si="0"/>
        <v>0</v>
      </c>
      <c r="G15">
        <f t="shared" si="1"/>
        <v>344.67608204070291</v>
      </c>
      <c r="H15" s="5">
        <f>Day_10[[#This Row],[Speed Pt]]+Day_10[[#This Row],[Dist Pt]]</f>
        <v>344.67608204070291</v>
      </c>
    </row>
    <row r="16" spans="1:9" x14ac:dyDescent="0.2">
      <c r="A16" s="1"/>
      <c r="H16" s="6"/>
    </row>
    <row r="21" spans="1:2" x14ac:dyDescent="0.2">
      <c r="A21" t="s">
        <v>42</v>
      </c>
      <c r="B21">
        <v>140</v>
      </c>
    </row>
    <row r="22" spans="1:2" x14ac:dyDescent="0.2">
      <c r="A22" t="s">
        <v>43</v>
      </c>
      <c r="B22">
        <v>350</v>
      </c>
    </row>
    <row r="23" spans="1:2" x14ac:dyDescent="0.2">
      <c r="A23" t="s">
        <v>44</v>
      </c>
      <c r="B23">
        <f>MAX(C2:C15)</f>
        <v>135.19</v>
      </c>
    </row>
    <row r="24" spans="1:2" x14ac:dyDescent="0.2">
      <c r="A24" t="s">
        <v>45</v>
      </c>
      <c r="B24">
        <f>D2/C2*3600</f>
        <v>11507.00495598787</v>
      </c>
    </row>
    <row r="26" spans="1:2" ht="17" x14ac:dyDescent="0.25">
      <c r="A26" t="s">
        <v>46</v>
      </c>
      <c r="B26" s="4">
        <f xml:space="preserve"> COUNT(D2:D15)</f>
        <v>14</v>
      </c>
    </row>
    <row r="27" spans="1:2" ht="17" x14ac:dyDescent="0.25">
      <c r="A27" t="s">
        <v>47</v>
      </c>
      <c r="B27" s="4">
        <f>COUNTIF(D2:D15, "&gt;=" &amp; 140)</f>
        <v>14</v>
      </c>
    </row>
    <row r="28" spans="1:2" x14ac:dyDescent="0.2">
      <c r="A28" t="s">
        <v>48</v>
      </c>
      <c r="B28">
        <f>COUNTIF(E2:E15, TRUE)</f>
        <v>13</v>
      </c>
    </row>
    <row r="29" spans="1:2" x14ac:dyDescent="0.2">
      <c r="A29" t="s">
        <v>49</v>
      </c>
      <c r="B29">
        <f>COUNTIFS(E2:E15, TRUE, C2:C15, "&gt;" &amp; 2/3*$B$23)</f>
        <v>12</v>
      </c>
    </row>
    <row r="30" spans="1:2" x14ac:dyDescent="0.2">
      <c r="A30" t="s">
        <v>50</v>
      </c>
      <c r="B30">
        <f>MAX(D2:D15)</f>
        <v>432.12</v>
      </c>
    </row>
    <row r="32" spans="1:2" ht="17" x14ac:dyDescent="0.25">
      <c r="A32" t="s">
        <v>51</v>
      </c>
      <c r="B32" s="4">
        <f xml:space="preserve"> 1250 * (B30/B22) - 250</f>
        <v>1293.2857142857142</v>
      </c>
    </row>
    <row r="33" spans="1:2" x14ac:dyDescent="0.2">
      <c r="A33" t="s">
        <v>52</v>
      </c>
      <c r="B33">
        <f xml:space="preserve"> IF(B24&lt;=0, 1000, (400*B24/3600) - 200)</f>
        <v>1078.5561062208744</v>
      </c>
    </row>
    <row r="34" spans="1:2" x14ac:dyDescent="0.2">
      <c r="A34" t="s">
        <v>53</v>
      </c>
      <c r="B34">
        <f>MIN(B32,B33,1000)</f>
        <v>1000</v>
      </c>
    </row>
    <row r="35" spans="1:2" x14ac:dyDescent="0.2">
      <c r="A35" t="s">
        <v>54</v>
      </c>
      <c r="B35">
        <f>MIN(1.25 * B27/B26, 1)</f>
        <v>1</v>
      </c>
    </row>
    <row r="36" spans="1:2" x14ac:dyDescent="0.2">
      <c r="A36" t="s">
        <v>55</v>
      </c>
      <c r="B36">
        <f>IF(B27&gt;0, MIN(1.2*(B29/B27)+0.6, 1), 1)</f>
        <v>1</v>
      </c>
    </row>
    <row r="37" spans="1:2" x14ac:dyDescent="0.2">
      <c r="A37" t="s">
        <v>56</v>
      </c>
      <c r="B37">
        <f>(2/3) * (B29/B26) * B34</f>
        <v>571.42857142857144</v>
      </c>
    </row>
    <row r="38" spans="1:2" x14ac:dyDescent="0.2">
      <c r="A38" t="s">
        <v>57</v>
      </c>
      <c r="B38">
        <f>B34-B37</f>
        <v>428.57142857142856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8B9C-FCA6-8C44-B43B-4A53754B4946}">
  <dimension ref="A1:W17"/>
  <sheetViews>
    <sheetView tabSelected="1" workbookViewId="0">
      <selection activeCell="AA18" sqref="AA18"/>
    </sheetView>
  </sheetViews>
  <sheetFormatPr baseColWidth="10" defaultRowHeight="16" x14ac:dyDescent="0.2"/>
  <cols>
    <col min="1" max="1" width="6.6640625" customWidth="1"/>
    <col min="2" max="2" width="18.5" customWidth="1"/>
    <col min="4" max="13" width="9.1640625" customWidth="1"/>
    <col min="14" max="14" width="16.1640625" bestFit="1" customWidth="1"/>
    <col min="15" max="15" width="18" customWidth="1"/>
    <col min="16" max="16" width="6.33203125" customWidth="1"/>
    <col min="17" max="23" width="0" hidden="1" customWidth="1"/>
  </cols>
  <sheetData>
    <row r="1" spans="1:23" x14ac:dyDescent="0.2">
      <c r="A1" t="s">
        <v>34</v>
      </c>
      <c r="B1" t="s">
        <v>1</v>
      </c>
      <c r="C1" t="s">
        <v>0</v>
      </c>
      <c r="D1" s="8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67</v>
      </c>
      <c r="O1" t="s">
        <v>81</v>
      </c>
      <c r="P1" t="s">
        <v>66</v>
      </c>
      <c r="Q1" t="s">
        <v>68</v>
      </c>
      <c r="R1" t="s">
        <v>79</v>
      </c>
      <c r="T1" t="s">
        <v>34</v>
      </c>
    </row>
    <row r="2" spans="1:23" s="9" customFormat="1" ht="28" customHeight="1" x14ac:dyDescent="0.2">
      <c r="A2" s="10" t="s">
        <v>8</v>
      </c>
      <c r="B2" s="10" t="s">
        <v>20</v>
      </c>
      <c r="C2" s="9" t="s">
        <v>36</v>
      </c>
      <c r="D2" s="11">
        <f>_xlfn.XLOOKUP(Table12[[#This Row],[CN]],'T1'!$A$2:$A$15,'T1'!$H$2:$H$15)</f>
        <v>734.08394734663466</v>
      </c>
      <c r="E2" s="12">
        <f>_xlfn.XLOOKUP(Table12[[#This Row],[CN]],'T2'!$A$2:$A$15,'T2'!$H$2:$H$15)</f>
        <v>1000.0000000000001</v>
      </c>
      <c r="F2" s="12">
        <f>_xlfn.XLOOKUP(Table12[[#This Row],[CN]],'T3'!$A$2:$A$15,'T3'!$H$2:$H$15)</f>
        <v>817.24966837240481</v>
      </c>
      <c r="G2" s="12">
        <f>_xlfn.XLOOKUP(Table12[[#This Row],[CN]],'T4'!$A$2:$A$15,'T4'!$H$2:$H$15)</f>
        <v>998.69526217075759</v>
      </c>
      <c r="H2" s="12">
        <f>_xlfn.XLOOKUP(Table12[[#This Row],[CN]],'T5'!$A$2:$A$15,'T5'!$H$2:$H$15)</f>
        <v>849.52126899442669</v>
      </c>
      <c r="I2" s="12">
        <f>_xlfn.XLOOKUP(Table12[[#This Row],[CN]],'T6'!$A$2:$A$15,'T6'!$H$2:$H$15)</f>
        <v>944.87647340010028</v>
      </c>
      <c r="J2" s="12">
        <f>_xlfn.XLOOKUP(Table12[[#This Row],[CN]],'T7'!$A$2:$A$15,'T7'!$H$2:$H$15)</f>
        <v>650.91145492090118</v>
      </c>
      <c r="K2" s="12">
        <f>_xlfn.XLOOKUP(Table12[[#This Row],[CN]],'T8'!$A$2:$A$15,'T8'!$H$2:$H$15)</f>
        <v>977.84355179704028</v>
      </c>
      <c r="L2" s="12">
        <f>_xlfn.XLOOKUP(Table12[[#This Row],[CN]],'T9'!$A$2:$A$15,'T9'!$H$2:$H$15)</f>
        <v>950.71827613727089</v>
      </c>
      <c r="M2" s="12">
        <f>_xlfn.XLOOKUP(Table12[[#This Row],[CN]],'T10'!$A$2:$A$15,'T10'!$H$2:$H$15)</f>
        <v>1000</v>
      </c>
      <c r="N2" s="13">
        <v>8938</v>
      </c>
      <c r="O2" s="14">
        <f>SUMIF('T1'!$A$2:$A$15, $A2, 'T1'!$H$2:$H$15)
+SUMIF('T2'!$A$2:$A$15, $A2, 'T2'!$H$2:$H$15)
+SUMIF('T3'!$A$2:$A$15, $A2, 'T3'!$H$2:$H$15)
+SUMIF('T4'!$A$2:$A$15, $A2, 'T4'!$H$2:$H$15)
+SUMIF('T5'!$A$2:$A$15, $A2, 'T5'!$H$2:$H$15)
+SUMIF('T6'!$A$2:$A$15, $A2, 'T6'!$H$2:$H$15)
+SUMIF('T7'!$A$2:$A$15, $A2, 'T7'!$H$2:$H$15)
+SUMIF('T8'!$A$2:$A$15, $A2, 'T8'!$H$2:$H$15)
+SUMIF('T9'!$A$2:$A$15, $A2, 'T9'!$H$2:$H$15)
+SUMIF('T10'!$A$2:$A$15, $A2, 'T10'!$H$2:$H$15)</f>
        <v>8923.899903139536</v>
      </c>
      <c r="P2" s="12">
        <f>Table12[[#This Row],[Recalculated Score]]-Table12[[#This Row],[Original Score ]]</f>
        <v>-14.100096860463964</v>
      </c>
      <c r="Q2" s="12">
        <f>SUM(Table12[[#This Row],[Task1]:[Task10]])</f>
        <v>8923.899903139536</v>
      </c>
      <c r="R2" s="12">
        <f>Table12[[#This Row],[Column1]]-Table12[[#This Row],[Recalculated Score]]</f>
        <v>0</v>
      </c>
      <c r="T2" s="15" t="s">
        <v>8</v>
      </c>
      <c r="U2" s="16"/>
      <c r="W2" s="17" t="s">
        <v>65</v>
      </c>
    </row>
    <row r="3" spans="1:23" s="9" customFormat="1" ht="28" customHeight="1" x14ac:dyDescent="0.2">
      <c r="A3" s="10" t="s">
        <v>6</v>
      </c>
      <c r="B3" s="10" t="s">
        <v>19</v>
      </c>
      <c r="C3" s="9" t="s">
        <v>61</v>
      </c>
      <c r="D3" s="11">
        <f>_xlfn.XLOOKUP(Table12[[#This Row],[CN]],'T1'!$A$2:$A$15,'T1'!$H$2:$H$15)</f>
        <v>1000</v>
      </c>
      <c r="E3" s="12">
        <f>_xlfn.XLOOKUP(Table12[[#This Row],[CN]],'T2'!$A$2:$A$15,'T2'!$H$2:$H$15)</f>
        <v>945.73684266003318</v>
      </c>
      <c r="F3" s="12">
        <f>_xlfn.XLOOKUP(Table12[[#This Row],[CN]],'T3'!$A$2:$A$15,'T3'!$H$2:$H$15)</f>
        <v>787.36107413848652</v>
      </c>
      <c r="G3" s="12">
        <f>_xlfn.XLOOKUP(Table12[[#This Row],[CN]],'T4'!$A$2:$A$15,'T4'!$H$2:$H$15)</f>
        <v>1000</v>
      </c>
      <c r="H3" s="12">
        <f>_xlfn.XLOOKUP(Table12[[#This Row],[CN]],'T5'!$A$2:$A$15,'T5'!$H$2:$H$15)</f>
        <v>985.75715714762077</v>
      </c>
      <c r="I3" s="12">
        <f>_xlfn.XLOOKUP(Table12[[#This Row],[CN]],'T6'!$A$2:$A$15,'T6'!$H$2:$H$15)</f>
        <v>783.14348672628273</v>
      </c>
      <c r="J3" s="12">
        <f>_xlfn.XLOOKUP(Table12[[#This Row],[CN]],'T7'!$A$2:$A$15,'T7'!$H$2:$H$15)</f>
        <v>642.24944623510896</v>
      </c>
      <c r="K3" s="12">
        <f>_xlfn.XLOOKUP(Table12[[#This Row],[CN]],'T8'!$A$2:$A$15,'T8'!$H$2:$H$15)</f>
        <v>918.30866807611017</v>
      </c>
      <c r="L3" s="12">
        <f>_xlfn.XLOOKUP(Table12[[#This Row],[CN]],'T9'!$A$2:$A$15,'T9'!$H$2:$H$15)</f>
        <v>1000.0000000000001</v>
      </c>
      <c r="M3" s="12">
        <f>_xlfn.XLOOKUP(Table12[[#This Row],[CN]],'T10'!$A$2:$A$15,'T10'!$H$2:$H$15)</f>
        <v>851.13015544260463</v>
      </c>
      <c r="N3" s="13">
        <v>8945</v>
      </c>
      <c r="O3" s="14">
        <f>SUMIF('T1'!$A$2:$A$15, $A3, 'T1'!$H$2:$H$15)
+SUMIF('T2'!$A$2:$A$15, $A3, 'T2'!$H$2:$H$15)
+SUMIF('T3'!$A$2:$A$15, $A3, 'T3'!$H$2:$H$15)
+SUMIF('T4'!$A$2:$A$15, $A3, 'T4'!$H$2:$H$15)
+SUMIF('T5'!$A$2:$A$15, $A3, 'T5'!$H$2:$H$15)
+SUMIF('T6'!$A$2:$A$15, $A3, 'T6'!$H$2:$H$15)
+SUMIF('T7'!$A$2:$A$15, $A3, 'T7'!$H$2:$H$15)
+SUMIF('T8'!$A$2:$A$15, $A3, 'T8'!$H$2:$H$15)
+SUMIF('T9'!$A$2:$A$15, $A3, 'T9'!$H$2:$H$15)
+SUMIF('T10'!$A$2:$A$15, $A3, 'T10'!$H$2:$H$15)</f>
        <v>8913.6868304262462</v>
      </c>
      <c r="P3" s="12">
        <f>Table12[[#This Row],[Recalculated Score]]-Table12[[#This Row],[Original Score ]]</f>
        <v>-31.313169573753839</v>
      </c>
      <c r="Q3" s="12">
        <f>SUM(Table12[[#This Row],[Task1]:[Task10]])</f>
        <v>8913.6868304262462</v>
      </c>
      <c r="R3" s="12">
        <f>Table12[[#This Row],[Column1]]-Table12[[#This Row],[Recalculated Score]]</f>
        <v>0</v>
      </c>
      <c r="T3" s="18" t="s">
        <v>7</v>
      </c>
      <c r="U3" s="16"/>
    </row>
    <row r="4" spans="1:23" s="9" customFormat="1" ht="28" customHeight="1" x14ac:dyDescent="0.2">
      <c r="A4" s="10" t="s">
        <v>7</v>
      </c>
      <c r="B4" s="10" t="s">
        <v>21</v>
      </c>
      <c r="C4" s="9" t="s">
        <v>61</v>
      </c>
      <c r="D4" s="11">
        <f>_xlfn.XLOOKUP(Table12[[#This Row],[CN]],'T1'!$A$2:$A$15,'T1'!$H$2:$H$15)</f>
        <v>989.07194304164238</v>
      </c>
      <c r="E4" s="12">
        <f>_xlfn.XLOOKUP(Table12[[#This Row],[CN]],'T2'!$A$2:$A$15,'T2'!$H$2:$H$15)</f>
        <v>929.43048982302298</v>
      </c>
      <c r="F4" s="12">
        <f>_xlfn.XLOOKUP(Table12[[#This Row],[CN]],'T3'!$A$2:$A$15,'T3'!$H$2:$H$15)</f>
        <v>786.03000314021483</v>
      </c>
      <c r="G4" s="12">
        <f>_xlfn.XLOOKUP(Table12[[#This Row],[CN]],'T4'!$A$2:$A$15,'T4'!$H$2:$H$15)</f>
        <v>995.75960205496222</v>
      </c>
      <c r="H4" s="12">
        <f>_xlfn.XLOOKUP(Table12[[#This Row],[CN]],'T5'!$A$2:$A$15,'T5'!$H$2:$H$15)</f>
        <v>1000</v>
      </c>
      <c r="I4" s="12">
        <f>_xlfn.XLOOKUP(Table12[[#This Row],[CN]],'T6'!$A$2:$A$15,'T6'!$H$2:$H$15)</f>
        <v>797.1342295181355</v>
      </c>
      <c r="J4" s="12">
        <f>_xlfn.XLOOKUP(Table12[[#This Row],[CN]],'T7'!$A$2:$A$15,'T7'!$H$2:$H$15)</f>
        <v>627.9282585412659</v>
      </c>
      <c r="K4" s="12">
        <f>_xlfn.XLOOKUP(Table12[[#This Row],[CN]],'T8'!$A$2:$A$15,'T8'!$H$2:$H$15)</f>
        <v>914.41860465116292</v>
      </c>
      <c r="L4" s="12">
        <f>_xlfn.XLOOKUP(Table12[[#This Row],[CN]],'T9'!$A$2:$A$15,'T9'!$H$2:$H$15)</f>
        <v>947.60574620909836</v>
      </c>
      <c r="M4" s="12">
        <f>_xlfn.XLOOKUP(Table12[[#This Row],[CN]],'T10'!$A$2:$A$15,'T10'!$H$2:$H$15)</f>
        <v>853.28585165851246</v>
      </c>
      <c r="N4" s="13">
        <v>8871</v>
      </c>
      <c r="O4" s="14">
        <f>SUMIF('T1'!$A$2:$A$15, $A4, 'T1'!$H$2:$H$15)
+SUMIF('T2'!$A$2:$A$15, $A4, 'T2'!$H$2:$H$15)
+SUMIF('T3'!$A$2:$A$15, $A4, 'T3'!$H$2:$H$15)
+SUMIF('T4'!$A$2:$A$15, $A4, 'T4'!$H$2:$H$15)
+SUMIF('T5'!$A$2:$A$15, $A4, 'T5'!$H$2:$H$15)
+SUMIF('T6'!$A$2:$A$15, $A4, 'T6'!$H$2:$H$15)
+SUMIF('T7'!$A$2:$A$15, $A4, 'T7'!$H$2:$H$15)
+SUMIF('T8'!$A$2:$A$15, $A4, 'T8'!$H$2:$H$15)
+SUMIF('T9'!$A$2:$A$15, $A4, 'T9'!$H$2:$H$15)
+SUMIF('T10'!$A$2:$A$15, $A4, 'T10'!$H$2:$H$15)</f>
        <v>8840.6647286380176</v>
      </c>
      <c r="P4" s="12">
        <f>Table12[[#This Row],[Recalculated Score]]-Table12[[#This Row],[Original Score ]]</f>
        <v>-30.33527136198245</v>
      </c>
      <c r="Q4" s="12">
        <f>SUM(Table12[[#This Row],[Task1]:[Task10]])</f>
        <v>8840.6647286380176</v>
      </c>
      <c r="R4" s="12">
        <f>Table12[[#This Row],[Column1]]-Table12[[#This Row],[Recalculated Score]]</f>
        <v>0</v>
      </c>
      <c r="T4" s="15" t="s">
        <v>6</v>
      </c>
      <c r="U4" s="16"/>
    </row>
    <row r="5" spans="1:23" s="9" customFormat="1" ht="28" customHeight="1" x14ac:dyDescent="0.2">
      <c r="A5" s="22" t="s">
        <v>41</v>
      </c>
      <c r="B5" s="10" t="s">
        <v>22</v>
      </c>
      <c r="C5" s="9" t="s">
        <v>61</v>
      </c>
      <c r="D5" s="11">
        <f>_xlfn.XLOOKUP(Table12[[#This Row],[CN]],'T1'!$A$2:$A$15,'T1'!$H$2:$H$15)</f>
        <v>812.40168888152971</v>
      </c>
      <c r="E5" s="12">
        <f>_xlfn.XLOOKUP(Table12[[#This Row],[CN]],'T2'!$A$2:$A$15,'T2'!$H$2:$H$15)</f>
        <v>819.39686521697888</v>
      </c>
      <c r="F5" s="12">
        <f>_xlfn.XLOOKUP(Table12[[#This Row],[CN]],'T3'!$A$2:$A$15,'T3'!$H$2:$H$15)</f>
        <v>839.03083016230482</v>
      </c>
      <c r="G5" s="12">
        <f>_xlfn.XLOOKUP(Table12[[#This Row],[CN]],'T4'!$A$2:$A$15,'T4'!$H$2:$H$15)</f>
        <v>891.38057571556726</v>
      </c>
      <c r="H5" s="12">
        <f>_xlfn.XLOOKUP(Table12[[#This Row],[CN]],'T5'!$A$2:$A$15,'T5'!$H$2:$H$15)</f>
        <v>943.33825560901255</v>
      </c>
      <c r="I5" s="12">
        <f>_xlfn.XLOOKUP(Table12[[#This Row],[CN]],'T6'!$A$2:$A$15,'T6'!$H$2:$H$15)</f>
        <v>1000</v>
      </c>
      <c r="J5" s="12">
        <f>_xlfn.XLOOKUP(Table12[[#This Row],[CN]],'T7'!$A$2:$A$15,'T7'!$H$2:$H$15)</f>
        <v>591.31683516265093</v>
      </c>
      <c r="K5" s="12">
        <f>_xlfn.XLOOKUP(Table12[[#This Row],[CN]],'T8'!$A$2:$A$15,'T8'!$H$2:$H$15)</f>
        <v>813.10782241014817</v>
      </c>
      <c r="L5" s="12">
        <f>_xlfn.XLOOKUP(Table12[[#This Row],[CN]],'T9'!$A$2:$A$15,'T9'!$H$2:$H$15)</f>
        <v>939.82442138866747</v>
      </c>
      <c r="M5" s="12">
        <f>_xlfn.XLOOKUP(Table12[[#This Row],[CN]],'T10'!$A$2:$A$15,'T10'!$H$2:$H$15)</f>
        <v>767.94564264051655</v>
      </c>
      <c r="N5" s="13">
        <v>8453</v>
      </c>
      <c r="O5" s="14">
        <f>SUMIF('T1'!$A$2:$A$15, $A5, 'T1'!$H$2:$H$15)
+SUMIF('T2'!$A$2:$A$15, $A5, 'T2'!$H$2:$H$15)
+SUMIF('T3'!$A$2:$A$15, $A5, 'T3'!$H$2:$H$15)
+SUMIF('T4'!$A$2:$A$15, $A5, 'T4'!$H$2:$H$15)
+SUMIF('T5'!$A$2:$A$15, $A5, 'T5'!$H$2:$H$15)
+SUMIF('T6'!$A$2:$A$15, $A5, 'T6'!$H$2:$H$15)
+SUMIF('T7'!$A$2:$A$15, $A5, 'T7'!$H$2:$H$15)
+SUMIF('T8'!$A$2:$A$15, $A5, 'T8'!$H$2:$H$15)
+SUMIF('T9'!$A$2:$A$15, $A5, 'T9'!$H$2:$H$15)
+SUMIF('T10'!$A$2:$A$15, $A5, 'T10'!$H$2:$H$15)</f>
        <v>8417.7429371873768</v>
      </c>
      <c r="P5" s="12">
        <f>Table12[[#This Row],[Recalculated Score]]-Table12[[#This Row],[Original Score ]]</f>
        <v>-35.25706281262319</v>
      </c>
      <c r="Q5" s="12">
        <f>SUM(Table12[[#This Row],[Task1]:[Task10]])</f>
        <v>8417.7429371873768</v>
      </c>
      <c r="R5" s="12">
        <f>Table12[[#This Row],[Column1]]-Table12[[#This Row],[Recalculated Score]]</f>
        <v>0</v>
      </c>
      <c r="T5" s="18" t="s">
        <v>9</v>
      </c>
    </row>
    <row r="6" spans="1:23" s="9" customFormat="1" ht="28" customHeight="1" x14ac:dyDescent="0.2">
      <c r="A6" s="22" t="s">
        <v>40</v>
      </c>
      <c r="B6" s="10" t="s">
        <v>23</v>
      </c>
      <c r="C6" s="9" t="s">
        <v>36</v>
      </c>
      <c r="D6" s="11">
        <f>_xlfn.XLOOKUP(Table12[[#This Row],[CN]],'T1'!$A$2:$A$15,'T1'!$H$2:$H$15)</f>
        <v>815.71322129315331</v>
      </c>
      <c r="E6" s="12">
        <f>_xlfn.XLOOKUP(Table12[[#This Row],[CN]],'T2'!$A$2:$A$15,'T2'!$H$2:$H$15)</f>
        <v>753.21225664323151</v>
      </c>
      <c r="F6" s="12">
        <f>_xlfn.XLOOKUP(Table12[[#This Row],[CN]],'T3'!$A$2:$A$15,'T3'!$H$2:$H$15)</f>
        <v>816.76564255485164</v>
      </c>
      <c r="G6" s="12">
        <f>_xlfn.XLOOKUP(Table12[[#This Row],[CN]],'T4'!$A$2:$A$15,'T4'!$H$2:$H$15)</f>
        <v>890.07583788632485</v>
      </c>
      <c r="H6" s="12">
        <f>_xlfn.XLOOKUP(Table12[[#This Row],[CN]],'T5'!$A$2:$A$15,'T5'!$H$2:$H$15)</f>
        <v>824.28666698423297</v>
      </c>
      <c r="I6" s="12">
        <f>_xlfn.XLOOKUP(Table12[[#This Row],[CN]],'T6'!$A$2:$A$15,'T6'!$H$2:$H$15)</f>
        <v>975.37629268633918</v>
      </c>
      <c r="J6" s="12">
        <f>_xlfn.XLOOKUP(Table12[[#This Row],[CN]],'T7'!$A$2:$A$15,'T7'!$H$2:$H$15)</f>
        <v>588.54499238319738</v>
      </c>
      <c r="K6" s="12">
        <f>_xlfn.XLOOKUP(Table12[[#This Row],[CN]],'T8'!$A$2:$A$15,'T8'!$H$2:$H$15)</f>
        <v>930.99365750528557</v>
      </c>
      <c r="L6" s="12">
        <f>_xlfn.XLOOKUP(Table12[[#This Row],[CN]],'T9'!$A$2:$A$15,'T9'!$H$2:$H$15)</f>
        <v>946.95730247406266</v>
      </c>
      <c r="M6" s="12">
        <f>_xlfn.XLOOKUP(Table12[[#This Row],[CN]],'T10'!$A$2:$A$15,'T10'!$H$2:$H$15)</f>
        <v>768.07244830027594</v>
      </c>
      <c r="N6" s="13">
        <v>8362</v>
      </c>
      <c r="O6" s="14">
        <f>SUMIF('T1'!$A$2:$A$15, $A6, 'T1'!$H$2:$H$15)
+SUMIF('T2'!$A$2:$A$15, $A6, 'T2'!$H$2:$H$15)
+SUMIF('T3'!$A$2:$A$15, $A6, 'T3'!$H$2:$H$15)
+SUMIF('T4'!$A$2:$A$15, $A6, 'T4'!$H$2:$H$15)
+SUMIF('T5'!$A$2:$A$15, $A6, 'T5'!$H$2:$H$15)
+SUMIF('T6'!$A$2:$A$15, $A6, 'T6'!$H$2:$H$15)
+SUMIF('T7'!$A$2:$A$15, $A6, 'T7'!$H$2:$H$15)
+SUMIF('T8'!$A$2:$A$15, $A6, 'T8'!$H$2:$H$15)
+SUMIF('T9'!$A$2:$A$15, $A6, 'T9'!$H$2:$H$15)
+SUMIF('T10'!$A$2:$A$15, $A6, 'T10'!$H$2:$H$15)</f>
        <v>8309.9983187109556</v>
      </c>
      <c r="P6" s="12">
        <f>Table12[[#This Row],[Recalculated Score]]-Table12[[#This Row],[Original Score ]]</f>
        <v>-52.001681289044427</v>
      </c>
      <c r="Q6" s="12">
        <f>SUM(Table12[[#This Row],[Task1]:[Task10]])</f>
        <v>8309.9983187109556</v>
      </c>
      <c r="R6" s="12">
        <f>Table12[[#This Row],[Column1]]-Table12[[#This Row],[Recalculated Score]]</f>
        <v>0</v>
      </c>
      <c r="T6" s="19" t="s">
        <v>40</v>
      </c>
    </row>
    <row r="7" spans="1:23" s="9" customFormat="1" ht="28" customHeight="1" x14ac:dyDescent="0.2">
      <c r="A7" s="10" t="s">
        <v>9</v>
      </c>
      <c r="B7" s="10" t="s">
        <v>24</v>
      </c>
      <c r="C7" s="9" t="s">
        <v>61</v>
      </c>
      <c r="D7" s="11">
        <f>_xlfn.XLOOKUP(Table12[[#This Row],[CN]],'T1'!$A$2:$A$15,'T1'!$H$2:$H$15)</f>
        <v>674.80751717857447</v>
      </c>
      <c r="E7" s="12">
        <f>_xlfn.XLOOKUP(Table12[[#This Row],[CN]],'T2'!$A$2:$A$15,'T2'!$H$2:$H$15)</f>
        <v>916.13875683823312</v>
      </c>
      <c r="F7" s="12">
        <f>_xlfn.XLOOKUP(Table12[[#This Row],[CN]],'T3'!$A$2:$A$15,'T3'!$H$2:$H$15)</f>
        <v>729.88300830402829</v>
      </c>
      <c r="G7" s="12">
        <f>_xlfn.XLOOKUP(Table12[[#This Row],[CN]],'T4'!$A$2:$A$15,'T4'!$H$2:$H$15)</f>
        <v>621.4629372910382</v>
      </c>
      <c r="H7" s="12">
        <f>_xlfn.XLOOKUP(Table12[[#This Row],[CN]],'T5'!$A$2:$A$15,'T5'!$H$2:$H$15)</f>
        <v>838.37469632734724</v>
      </c>
      <c r="I7" s="12">
        <f>_xlfn.XLOOKUP(Table12[[#This Row],[CN]],'T6'!$A$2:$A$15,'T6'!$H$2:$H$15)</f>
        <v>906.68174557834232</v>
      </c>
      <c r="J7" s="12">
        <f>_xlfn.XLOOKUP(Table12[[#This Row],[CN]],'T7'!$A$2:$A$15,'T7'!$H$2:$H$15)</f>
        <v>557.59274801263336</v>
      </c>
      <c r="K7" s="12">
        <f>_xlfn.XLOOKUP(Table12[[#This Row],[CN]],'T8'!$A$2:$A$15,'T8'!$H$2:$H$15)</f>
        <v>872.30443974630043</v>
      </c>
      <c r="L7" s="12">
        <f>_xlfn.XLOOKUP(Table12[[#This Row],[CN]],'T9'!$A$2:$A$15,'T9'!$H$2:$H$15)</f>
        <v>856.17517956903475</v>
      </c>
      <c r="M7" s="12">
        <f>_xlfn.XLOOKUP(Table12[[#This Row],[CN]],'T10'!$A$2:$A$15,'T10'!$H$2:$H$15)</f>
        <v>770.22814451618342</v>
      </c>
      <c r="N7" s="13">
        <v>7787</v>
      </c>
      <c r="O7" s="14">
        <f>SUMIF('T1'!$A$2:$A$15, $A7, 'T1'!$H$2:$H$15)
+SUMIF('T2'!$A$2:$A$15, $A7, 'T2'!$H$2:$H$15)
+SUMIF('T3'!$A$2:$A$15, $A7, 'T3'!$H$2:$H$15)
+SUMIF('T4'!$A$2:$A$15, $A7, 'T4'!$H$2:$H$15)
+SUMIF('T5'!$A$2:$A$15, $A7, 'T5'!$H$2:$H$15)
+SUMIF('T6'!$A$2:$A$15, $A7, 'T6'!$H$2:$H$15)
+SUMIF('T7'!$A$2:$A$15, $A7, 'T7'!$H$2:$H$15)
+SUMIF('T8'!$A$2:$A$15, $A7, 'T8'!$H$2:$H$15)
+SUMIF('T9'!$A$2:$A$15, $A7, 'T9'!$H$2:$H$15)
+SUMIF('T10'!$A$2:$A$15, $A7, 'T10'!$H$2:$H$15)</f>
        <v>7743.649173361714</v>
      </c>
      <c r="P7" s="12">
        <f>Table12[[#This Row],[Recalculated Score]]-Table12[[#This Row],[Original Score ]]</f>
        <v>-43.35082663828598</v>
      </c>
      <c r="Q7" s="12">
        <f>SUM(Table12[[#This Row],[Task1]:[Task10]])</f>
        <v>7743.649173361714</v>
      </c>
      <c r="R7" s="12">
        <f>Table12[[#This Row],[Column1]]-Table12[[#This Row],[Recalculated Score]]</f>
        <v>0</v>
      </c>
      <c r="T7" s="20" t="s">
        <v>41</v>
      </c>
    </row>
    <row r="8" spans="1:23" s="9" customFormat="1" ht="28" customHeight="1" x14ac:dyDescent="0.2">
      <c r="A8" s="10" t="s">
        <v>10</v>
      </c>
      <c r="B8" s="10" t="s">
        <v>25</v>
      </c>
      <c r="C8" s="9" t="s">
        <v>62</v>
      </c>
      <c r="D8" s="11">
        <f>_xlfn.XLOOKUP(Table12[[#This Row],[CN]],'T1'!$A$2:$A$15,'T1'!$H$2:$H$15)</f>
        <v>816.04437453431581</v>
      </c>
      <c r="E8" s="12">
        <f>_xlfn.XLOOKUP(Table12[[#This Row],[CN]],'T2'!$A$2:$A$15,'T2'!$H$2:$H$15)</f>
        <v>754.44551021913981</v>
      </c>
      <c r="F8" s="12">
        <f>_xlfn.XLOOKUP(Table12[[#This Row],[CN]],'T3'!$A$2:$A$15,'T3'!$H$2:$H$15)</f>
        <v>712.57908532649651</v>
      </c>
      <c r="G8" s="12">
        <f>_xlfn.XLOOKUP(Table12[[#This Row],[CN]],'T4'!$A$2:$A$15,'T4'!$H$2:$H$15)</f>
        <v>846.85639729266893</v>
      </c>
      <c r="H8" s="12">
        <f>_xlfn.XLOOKUP(Table12[[#This Row],[CN]],'T5'!$A$2:$A$15,'T5'!$H$2:$H$15)</f>
        <v>849.36645548516185</v>
      </c>
      <c r="I8" s="12">
        <f>_xlfn.XLOOKUP(Table12[[#This Row],[CN]],'T6'!$A$2:$A$15,'T6'!$H$2:$H$15)</f>
        <v>828.19367851604852</v>
      </c>
      <c r="J8" s="12">
        <f>_xlfn.XLOOKUP(Table12[[#This Row],[CN]],'T7'!$A$2:$A$15,'T7'!$H$2:$H$15)</f>
        <v>565.44630255441825</v>
      </c>
      <c r="K8" s="12">
        <f>_xlfn.XLOOKUP(Table12[[#This Row],[CN]],'T8'!$A$2:$A$15,'T8'!$H$2:$H$15)</f>
        <v>622.66384778012696</v>
      </c>
      <c r="L8" s="12">
        <f>_xlfn.XLOOKUP(Table12[[#This Row],[CN]],'T9'!$A$2:$A$15,'T9'!$H$2:$H$15)</f>
        <v>868.62529928172398</v>
      </c>
      <c r="M8" s="12">
        <f>_xlfn.XLOOKUP(Table12[[#This Row],[CN]],'T10'!$A$2:$A$15,'T10'!$H$2:$H$15)</f>
        <v>655.72263375355328</v>
      </c>
      <c r="N8" s="13">
        <v>7588</v>
      </c>
      <c r="O8" s="14">
        <f>SUMIF('T1'!$A$2:$A$15, $A8, 'T1'!$H$2:$H$15)
+SUMIF('T2'!$A$2:$A$15, $A8, 'T2'!$H$2:$H$15)
+SUMIF('T3'!$A$2:$A$15, $A8, 'T3'!$H$2:$H$15)
+SUMIF('T4'!$A$2:$A$15, $A8, 'T4'!$H$2:$H$15)
+SUMIF('T5'!$A$2:$A$15, $A8, 'T5'!$H$2:$H$15)
+SUMIF('T6'!$A$2:$A$15, $A8, 'T6'!$H$2:$H$15)
+SUMIF('T7'!$A$2:$A$15, $A8, 'T7'!$H$2:$H$15)
+SUMIF('T8'!$A$2:$A$15, $A8, 'T8'!$H$2:$H$15)
+SUMIF('T9'!$A$2:$A$15, $A8, 'T9'!$H$2:$H$15)
+SUMIF('T10'!$A$2:$A$15, $A8, 'T10'!$H$2:$H$15)</f>
        <v>7519.9435847436534</v>
      </c>
      <c r="P8" s="12">
        <f>Table12[[#This Row],[Recalculated Score]]-Table12[[#This Row],[Original Score ]]</f>
        <v>-68.056415256346554</v>
      </c>
      <c r="Q8" s="12">
        <f>SUM(Table12[[#This Row],[Task1]:[Task10]])</f>
        <v>7519.9435847436534</v>
      </c>
      <c r="R8" s="12">
        <f>Table12[[#This Row],[Column1]]-Table12[[#This Row],[Recalculated Score]]</f>
        <v>0</v>
      </c>
      <c r="T8" s="15" t="s">
        <v>11</v>
      </c>
    </row>
    <row r="9" spans="1:23" s="9" customFormat="1" ht="28" customHeight="1" x14ac:dyDescent="0.2">
      <c r="A9" s="10" t="s">
        <v>11</v>
      </c>
      <c r="B9" s="10" t="s">
        <v>26</v>
      </c>
      <c r="C9" s="9" t="s">
        <v>36</v>
      </c>
      <c r="D9" s="11">
        <f>_xlfn.XLOOKUP(Table12[[#This Row],[CN]],'T1'!$A$2:$A$15,'T1'!$H$2:$H$15)</f>
        <v>665.20407318486605</v>
      </c>
      <c r="E9" s="12">
        <f>_xlfn.XLOOKUP(Table12[[#This Row],[CN]],'T2'!$A$2:$A$15,'T2'!$H$2:$H$15)</f>
        <v>903.94324925425076</v>
      </c>
      <c r="F9" s="12">
        <f>_xlfn.XLOOKUP(Table12[[#This Row],[CN]],'T3'!$A$2:$A$15,'T3'!$H$2:$H$15)</f>
        <v>749.12303455177334</v>
      </c>
      <c r="G9" s="12">
        <f>_xlfn.XLOOKUP(Table12[[#This Row],[CN]],'T4'!$A$2:$A$15,'T4'!$H$2:$H$15)</f>
        <v>860.55614449971472</v>
      </c>
      <c r="H9" s="12">
        <f>_xlfn.XLOOKUP(Table12[[#This Row],[CN]],'T5'!$A$2:$A$15,'T5'!$H$2:$H$15)</f>
        <v>803.38684323345899</v>
      </c>
      <c r="I9" s="12">
        <f>_xlfn.XLOOKUP(Table12[[#This Row],[CN]],'T6'!$A$2:$A$15,'T6'!$H$2:$H$15)</f>
        <v>788.59987641510543</v>
      </c>
      <c r="J9" s="12">
        <f>_xlfn.XLOOKUP(Table12[[#This Row],[CN]],'T7'!$A$2:$A$15,'T7'!$H$2:$H$15)</f>
        <v>165.3357543101925</v>
      </c>
      <c r="K9" s="12">
        <f>_xlfn.XLOOKUP(Table12[[#This Row],[CN]],'T8'!$A$2:$A$15,'T8'!$H$2:$H$15)</f>
        <v>973.78435517970411</v>
      </c>
      <c r="L9" s="12">
        <f>_xlfn.XLOOKUP(Table12[[#This Row],[CN]],'T9'!$A$2:$A$15,'T9'!$H$2:$H$15)</f>
        <v>860.06584197924997</v>
      </c>
      <c r="M9" s="12">
        <f>_xlfn.XLOOKUP(Table12[[#This Row],[CN]],'T10'!$A$2:$A$15,'T10'!$H$2:$H$15)</f>
        <v>670.81250726490771</v>
      </c>
      <c r="N9" s="13">
        <v>7510</v>
      </c>
      <c r="O9" s="14">
        <f>SUMIF('T1'!$A$2:$A$15, $A9, 'T1'!$H$2:$H$15)
+SUMIF('T2'!$A$2:$A$15, $A9, 'T2'!$H$2:$H$15)
+SUMIF('T3'!$A$2:$A$15, $A9, 'T3'!$H$2:$H$15)
+SUMIF('T4'!$A$2:$A$15, $A9, 'T4'!$H$2:$H$15)
+SUMIF('T5'!$A$2:$A$15, $A9, 'T5'!$H$2:$H$15)
+SUMIF('T6'!$A$2:$A$15, $A9, 'T6'!$H$2:$H$15)
+SUMIF('T7'!$A$2:$A$15, $A9, 'T7'!$H$2:$H$15)
+SUMIF('T8'!$A$2:$A$15, $A9, 'T8'!$H$2:$H$15)
+SUMIF('T9'!$A$2:$A$15, $A9, 'T9'!$H$2:$H$15)
+SUMIF('T10'!$A$2:$A$15, $A9, 'T10'!$H$2:$H$15)</f>
        <v>7440.8116798732244</v>
      </c>
      <c r="P9" s="12">
        <f>Table12[[#This Row],[Recalculated Score]]-Table12[[#This Row],[Original Score ]]</f>
        <v>-69.188320126775579</v>
      </c>
      <c r="Q9" s="12">
        <f>SUM(Table12[[#This Row],[Task1]:[Task10]])</f>
        <v>7440.8116798732244</v>
      </c>
      <c r="R9" s="12">
        <f>Table12[[#This Row],[Column1]]-Table12[[#This Row],[Recalculated Score]]</f>
        <v>0</v>
      </c>
      <c r="T9" s="18" t="s">
        <v>10</v>
      </c>
    </row>
    <row r="10" spans="1:23" s="9" customFormat="1" ht="28" customHeight="1" x14ac:dyDescent="0.2">
      <c r="A10" s="10" t="s">
        <v>12</v>
      </c>
      <c r="B10" s="10" t="s">
        <v>27</v>
      </c>
      <c r="C10" s="9" t="s">
        <v>62</v>
      </c>
      <c r="D10" s="11">
        <f>_xlfn.XLOOKUP(Table12[[#This Row],[CN]],'T1'!$A$2:$A$15,'T1'!$H$2:$H$15)</f>
        <v>623.47876479841034</v>
      </c>
      <c r="E10" s="12">
        <f>_xlfn.XLOOKUP(Table12[[#This Row],[CN]],'T2'!$A$2:$A$15,'T2'!$H$2:$H$15)</f>
        <v>779.93275078791214</v>
      </c>
      <c r="F10" s="12">
        <f>_xlfn.XLOOKUP(Table12[[#This Row],[CN]],'T3'!$A$2:$A$15,'T3'!$H$2:$H$15)</f>
        <v>716.20927895814657</v>
      </c>
      <c r="G10" s="12">
        <f>_xlfn.XLOOKUP(Table12[[#This Row],[CN]],'T4'!$A$2:$A$15,'T4'!$H$2:$H$15)</f>
        <v>793.36214629372898</v>
      </c>
      <c r="H10" s="12">
        <f>_xlfn.XLOOKUP(Table12[[#This Row],[CN]],'T5'!$A$2:$A$15,'T5'!$H$2:$H$15)</f>
        <v>854.01086076311162</v>
      </c>
      <c r="I10" s="12">
        <f>_xlfn.XLOOKUP(Table12[[#This Row],[CN]],'T6'!$A$2:$A$15,'T6'!$H$2:$H$15)</f>
        <v>718.78606988376032</v>
      </c>
      <c r="J10" s="12">
        <f>_xlfn.XLOOKUP(Table12[[#This Row],[CN]],'T7'!$A$2:$A$15,'T7'!$H$2:$H$15)</f>
        <v>558.63218905492852</v>
      </c>
      <c r="K10" s="12">
        <f>_xlfn.XLOOKUP(Table12[[#This Row],[CN]],'T8'!$A$2:$A$15,'T8'!$H$2:$H$15)</f>
        <v>759.32346723044407</v>
      </c>
      <c r="L10" s="12">
        <f>_xlfn.XLOOKUP(Table12[[#This Row],[CN]],'T9'!$A$2:$A$15,'T9'!$H$2:$H$15)</f>
        <v>882.3723064644854</v>
      </c>
      <c r="M10" s="12">
        <f>_xlfn.XLOOKUP(Table12[[#This Row],[CN]],'T10'!$A$2:$A$15,'T10'!$H$2:$H$15)</f>
        <v>625.92330371012224</v>
      </c>
      <c r="N10" s="13">
        <v>7387</v>
      </c>
      <c r="O10" s="14">
        <f>SUMIF('T1'!$A$2:$A$15, $A10, 'T1'!$H$2:$H$15)
+SUMIF('T2'!$A$2:$A$15, $A10, 'T2'!$H$2:$H$15)
+SUMIF('T3'!$A$2:$A$15, $A10, 'T3'!$H$2:$H$15)
+SUMIF('T4'!$A$2:$A$15, $A10, 'T4'!$H$2:$H$15)
+SUMIF('T5'!$A$2:$A$15, $A10, 'T5'!$H$2:$H$15)
+SUMIF('T6'!$A$2:$A$15, $A10, 'T6'!$H$2:$H$15)
+SUMIF('T7'!$A$2:$A$15, $A10, 'T7'!$H$2:$H$15)
+SUMIF('T8'!$A$2:$A$15, $A10, 'T8'!$H$2:$H$15)
+SUMIF('T9'!$A$2:$A$15, $A10, 'T9'!$H$2:$H$15)
+SUMIF('T10'!$A$2:$A$15, $A10, 'T10'!$H$2:$H$15)</f>
        <v>7312.0311379450504</v>
      </c>
      <c r="P10" s="12">
        <f>Table12[[#This Row],[Recalculated Score]]-Table12[[#This Row],[Original Score ]]</f>
        <v>-74.968862054949568</v>
      </c>
      <c r="Q10" s="12">
        <f>SUM(Table12[[#This Row],[Task1]:[Task10]])</f>
        <v>7312.0311379450504</v>
      </c>
      <c r="R10" s="12">
        <f>Table12[[#This Row],[Column1]]-Table12[[#This Row],[Recalculated Score]]</f>
        <v>0</v>
      </c>
      <c r="T10" s="15" t="s">
        <v>17</v>
      </c>
    </row>
    <row r="11" spans="1:23" s="9" customFormat="1" ht="28" customHeight="1" x14ac:dyDescent="0.2">
      <c r="A11" s="10" t="s">
        <v>13</v>
      </c>
      <c r="B11" s="10" t="s">
        <v>28</v>
      </c>
      <c r="C11" s="9" t="s">
        <v>63</v>
      </c>
      <c r="D11" s="11">
        <f>_xlfn.XLOOKUP(Table12[[#This Row],[CN]],'T1'!$A$2:$A$15,'T1'!$H$2:$H$15)</f>
        <v>649.80544747081706</v>
      </c>
      <c r="E11" s="12">
        <f>_xlfn.XLOOKUP(Table12[[#This Row],[CN]],'T2'!$A$2:$A$15,'T2'!$H$2:$H$15)</f>
        <v>738.82429825763415</v>
      </c>
      <c r="F11" s="12">
        <f>_xlfn.XLOOKUP(Table12[[#This Row],[CN]],'T3'!$A$2:$A$15,'T3'!$H$2:$H$15)</f>
        <v>696.84824625601323</v>
      </c>
      <c r="G11" s="12">
        <f>_xlfn.XLOOKUP(Table12[[#This Row],[CN]],'T4'!$A$2:$A$15,'T4'!$H$2:$H$15)</f>
        <v>729.42999266084985</v>
      </c>
      <c r="H11" s="12">
        <f>_xlfn.XLOOKUP(Table12[[#This Row],[CN]],'T5'!$A$2:$A$15,'T5'!$H$2:$H$15)</f>
        <v>782.95146001047965</v>
      </c>
      <c r="I11" s="12">
        <f>_xlfn.XLOOKUP(Table12[[#This Row],[CN]],'T6'!$A$2:$A$15,'T6'!$H$2:$H$15)</f>
        <v>916.75508038847624</v>
      </c>
      <c r="J11" s="12">
        <f>_xlfn.XLOOKUP(Table12[[#This Row],[CN]],'T7'!$A$2:$A$15,'T7'!$H$2:$H$15)</f>
        <v>531.3081716833442</v>
      </c>
      <c r="K11" s="12">
        <f>_xlfn.XLOOKUP(Table12[[#This Row],[CN]],'T8'!$A$2:$A$15,'T8'!$H$2:$H$15)</f>
        <v>751.0359408033828</v>
      </c>
      <c r="L11" s="12">
        <f>_xlfn.XLOOKUP(Table12[[#This Row],[CN]],'T9'!$A$2:$A$15,'T9'!$H$2:$H$15)</f>
        <v>807.9309656823624</v>
      </c>
      <c r="M11" s="12">
        <f>_xlfn.XLOOKUP(Table12[[#This Row],[CN]],'T10'!$A$2:$A$15,'T10'!$H$2:$H$15)</f>
        <v>587.62799446281952</v>
      </c>
      <c r="N11" s="13">
        <v>7263</v>
      </c>
      <c r="O11" s="14">
        <f>SUMIF('T1'!$A$2:$A$15, $A11, 'T1'!$H$2:$H$15)
+SUMIF('T2'!$A$2:$A$15, $A11, 'T2'!$H$2:$H$15)
+SUMIF('T3'!$A$2:$A$15, $A11, 'T3'!$H$2:$H$15)
+SUMIF('T4'!$A$2:$A$15, $A11, 'T4'!$H$2:$H$15)
+SUMIF('T5'!$A$2:$A$15, $A11, 'T5'!$H$2:$H$15)
+SUMIF('T6'!$A$2:$A$15, $A11, 'T6'!$H$2:$H$15)
+SUMIF('T7'!$A$2:$A$15, $A11, 'T7'!$H$2:$H$15)
+SUMIF('T8'!$A$2:$A$15, $A11, 'T8'!$H$2:$H$15)
+SUMIF('T9'!$A$2:$A$15, $A11, 'T9'!$H$2:$H$15)
+SUMIF('T10'!$A$2:$A$15, $A11, 'T10'!$H$2:$H$15)</f>
        <v>7192.5175976761784</v>
      </c>
      <c r="P11" s="12">
        <f>Table12[[#This Row],[Recalculated Score]]-Table12[[#This Row],[Original Score ]]</f>
        <v>-70.482402323821589</v>
      </c>
      <c r="Q11" s="12">
        <f>SUM(Table12[[#This Row],[Task1]:[Task10]])</f>
        <v>7192.5175976761784</v>
      </c>
      <c r="R11" s="12">
        <f>Table12[[#This Row],[Column1]]-Table12[[#This Row],[Recalculated Score]]</f>
        <v>0</v>
      </c>
      <c r="T11" s="18" t="s">
        <v>12</v>
      </c>
    </row>
    <row r="12" spans="1:23" s="9" customFormat="1" ht="28" customHeight="1" x14ac:dyDescent="0.2">
      <c r="A12" s="10" t="s">
        <v>14</v>
      </c>
      <c r="B12" s="10" t="s">
        <v>29</v>
      </c>
      <c r="C12" s="9" t="s">
        <v>61</v>
      </c>
      <c r="D12" s="11">
        <f>_xlfn.XLOOKUP(Table12[[#This Row],[CN]],'T1'!$A$2:$A$15,'T1'!$H$2:$H$15)</f>
        <v>832.76761321301422</v>
      </c>
      <c r="E12" s="12">
        <f>_xlfn.XLOOKUP(Table12[[#This Row],[CN]],'T2'!$A$2:$A$15,'T2'!$H$2:$H$15)</f>
        <v>355.13759519509404</v>
      </c>
      <c r="F12" s="12">
        <f>_xlfn.XLOOKUP(Table12[[#This Row],[CN]],'T3'!$A$2:$A$15,'T3'!$H$2:$H$15)</f>
        <v>719.71846613540822</v>
      </c>
      <c r="G12" s="12">
        <f>_xlfn.XLOOKUP(Table12[[#This Row],[CN]],'T4'!$A$2:$A$15,'T4'!$H$2:$H$15)</f>
        <v>768.57212753812291</v>
      </c>
      <c r="H12" s="12">
        <f>_xlfn.XLOOKUP(Table12[[#This Row],[CN]],'T5'!$A$2:$A$15,'T5'!$H$2:$H$15)</f>
        <v>746.72509884247131</v>
      </c>
      <c r="I12" s="12">
        <f>_xlfn.XLOOKUP(Table12[[#This Row],[CN]],'T6'!$A$2:$A$15,'T6'!$H$2:$H$15)</f>
        <v>858.97331265812454</v>
      </c>
      <c r="J12" s="12">
        <f>_xlfn.XLOOKUP(Table12[[#This Row],[CN]],'T7'!$A$2:$A$15,'T7'!$H$2:$H$15)</f>
        <v>662.34530638614683</v>
      </c>
      <c r="K12" s="12">
        <f>_xlfn.XLOOKUP(Table12[[#This Row],[CN]],'T8'!$A$2:$A$15,'T8'!$H$2:$H$15)</f>
        <v>873.31923890063445</v>
      </c>
      <c r="L12" s="12">
        <f>_xlfn.XLOOKUP(Table12[[#This Row],[CN]],'T9'!$A$2:$A$15,'T9'!$H$2:$H$15)</f>
        <v>881.98324022346378</v>
      </c>
      <c r="M12" s="12">
        <f>_xlfn.XLOOKUP(Table12[[#This Row],[CN]],'T10'!$A$2:$A$15,'T10'!$H$2:$H$15)</f>
        <v>344.67608204070291</v>
      </c>
      <c r="N12" s="13">
        <v>7139</v>
      </c>
      <c r="O12" s="14">
        <f>SUMIF('T1'!$A$2:$A$15, $A12, 'T1'!$H$2:$H$15)
+SUMIF('T2'!$A$2:$A$15, $A12, 'T2'!$H$2:$H$15)
+SUMIF('T3'!$A$2:$A$15, $A12, 'T3'!$H$2:$H$15)
+SUMIF('T4'!$A$2:$A$15, $A12, 'T4'!$H$2:$H$15)
+SUMIF('T5'!$A$2:$A$15, $A12, 'T5'!$H$2:$H$15)
+SUMIF('T6'!$A$2:$A$15, $A12, 'T6'!$H$2:$H$15)
+SUMIF('T7'!$A$2:$A$15, $A12, 'T7'!$H$2:$H$15)
+SUMIF('T8'!$A$2:$A$15, $A12, 'T8'!$H$2:$H$15)
+SUMIF('T9'!$A$2:$A$15, $A12, 'T9'!$H$2:$H$15)
+SUMIF('T10'!$A$2:$A$15, $A12, 'T10'!$H$2:$H$15)</f>
        <v>7044.2180811331827</v>
      </c>
      <c r="P12" s="12">
        <f>Table12[[#This Row],[Recalculated Score]]-Table12[[#This Row],[Original Score ]]</f>
        <v>-94.78191886681725</v>
      </c>
      <c r="Q12" s="12">
        <f>SUM(Table12[[#This Row],[Task1]:[Task10]])</f>
        <v>7044.2180811331827</v>
      </c>
      <c r="R12" s="12">
        <f>Table12[[#This Row],[Column1]]-Table12[[#This Row],[Recalculated Score]]</f>
        <v>0</v>
      </c>
      <c r="T12" s="15" t="s">
        <v>15</v>
      </c>
    </row>
    <row r="13" spans="1:23" s="9" customFormat="1" ht="28" customHeight="1" x14ac:dyDescent="0.2">
      <c r="A13" s="10" t="s">
        <v>15</v>
      </c>
      <c r="B13" s="10" t="s">
        <v>30</v>
      </c>
      <c r="C13" s="9" t="s">
        <v>36</v>
      </c>
      <c r="D13" s="11">
        <f>_xlfn.XLOOKUP(Table12[[#This Row],[CN]],'T1'!$A$2:$A$15,'T1'!$H$2:$H$15)</f>
        <v>522.8081794850566</v>
      </c>
      <c r="E13" s="12">
        <f>_xlfn.XLOOKUP(Table12[[#This Row],[CN]],'T2'!$A$2:$A$15,'T2'!$H$2:$H$15)</f>
        <v>732.79505855319348</v>
      </c>
      <c r="F13" s="12">
        <f>_xlfn.XLOOKUP(Table12[[#This Row],[CN]],'T3'!$A$2:$A$15,'T3'!$H$2:$H$15)</f>
        <v>781.06873851029331</v>
      </c>
      <c r="G13" s="12">
        <f>_xlfn.XLOOKUP(Table12[[#This Row],[CN]],'T4'!$A$2:$A$15,'T4'!$H$2:$H$15)</f>
        <v>843.92073717687367</v>
      </c>
      <c r="H13" s="12">
        <f>_xlfn.XLOOKUP(Table12[[#This Row],[CN]],'T5'!$A$2:$A$15,'T5'!$H$2:$H$15)</f>
        <v>780.16481684371001</v>
      </c>
      <c r="I13" s="12">
        <f>_xlfn.XLOOKUP(Table12[[#This Row],[CN]],'T6'!$A$2:$A$15,'T6'!$H$2:$H$15)</f>
        <v>724.94199671217552</v>
      </c>
      <c r="J13" s="12">
        <f>_xlfn.XLOOKUP(Table12[[#This Row],[CN]],'T7'!$A$2:$A$15,'T7'!$H$2:$H$15)</f>
        <v>78.206294173237268</v>
      </c>
      <c r="K13" s="12">
        <f>_xlfn.XLOOKUP(Table12[[#This Row],[CN]],'T8'!$A$2:$A$15,'T8'!$H$2:$H$15)</f>
        <v>677.63213530655401</v>
      </c>
      <c r="L13" s="12">
        <f>_xlfn.XLOOKUP(Table12[[#This Row],[CN]],'T9'!$A$2:$A$15,'T9'!$H$2:$H$15)</f>
        <v>871.60814046288942</v>
      </c>
      <c r="M13" s="12">
        <f>_xlfn.XLOOKUP(Table12[[#This Row],[CN]],'T10'!$A$2:$A$15,'T10'!$H$2:$H$15)</f>
        <v>599.54772648019195</v>
      </c>
      <c r="N13" s="13">
        <v>6697</v>
      </c>
      <c r="O13" s="14">
        <f>SUMIF('T1'!$A$2:$A$15, $A13, 'T1'!$H$2:$H$15)
+SUMIF('T2'!$A$2:$A$15, $A13, 'T2'!$H$2:$H$15)
+SUMIF('T3'!$A$2:$A$15, $A13, 'T3'!$H$2:$H$15)
+SUMIF('T4'!$A$2:$A$15, $A13, 'T4'!$H$2:$H$15)
+SUMIF('T5'!$A$2:$A$15, $A13, 'T5'!$H$2:$H$15)
+SUMIF('T6'!$A$2:$A$15, $A13, 'T6'!$H$2:$H$15)
+SUMIF('T7'!$A$2:$A$15, $A13, 'T7'!$H$2:$H$15)
+SUMIF('T8'!$A$2:$A$15, $A13, 'T8'!$H$2:$H$15)
+SUMIF('T9'!$A$2:$A$15, $A13, 'T9'!$H$2:$H$15)
+SUMIF('T10'!$A$2:$A$15, $A13, 'T10'!$H$2:$H$15)</f>
        <v>6612.6938237041759</v>
      </c>
      <c r="P13" s="12">
        <f>Table12[[#This Row],[Recalculated Score]]-Table12[[#This Row],[Original Score ]]</f>
        <v>-84.306176295824116</v>
      </c>
      <c r="Q13" s="12">
        <f>SUM(Table12[[#This Row],[Task1]:[Task10]])</f>
        <v>6612.6938237041759</v>
      </c>
      <c r="R13" s="12">
        <f>Table12[[#This Row],[Column1]]-Table12[[#This Row],[Recalculated Score]]</f>
        <v>0</v>
      </c>
      <c r="T13" s="18" t="s">
        <v>13</v>
      </c>
    </row>
    <row r="14" spans="1:23" s="9" customFormat="1" ht="28" customHeight="1" x14ac:dyDescent="0.2">
      <c r="A14" s="10" t="s">
        <v>16</v>
      </c>
      <c r="B14" s="10" t="s">
        <v>31</v>
      </c>
      <c r="C14" s="9" t="s">
        <v>62</v>
      </c>
      <c r="D14" s="11">
        <f>_xlfn.XLOOKUP(Table12[[#This Row],[CN]],'T1'!$A$2:$A$15,'T1'!$H$2:$H$15)</f>
        <v>717.85743852967948</v>
      </c>
      <c r="E14" s="12">
        <f>_xlfn.XLOOKUP(Table12[[#This Row],[CN]],'T2'!$A$2:$A$15,'T2'!$H$2:$H$15)</f>
        <v>751.15683401671765</v>
      </c>
      <c r="F14" s="12">
        <f>_xlfn.XLOOKUP(Table12[[#This Row],[CN]],'T3'!$A$2:$A$15,'T3'!$H$2:$H$15)</f>
        <v>608.27152164375343</v>
      </c>
      <c r="G14" s="12">
        <f>_xlfn.XLOOKUP(Table12[[#This Row],[CN]],'T4'!$A$2:$A$15,'T4'!$H$2:$H$15)</f>
        <v>654.73375193672018</v>
      </c>
      <c r="H14" s="12">
        <f>_xlfn.XLOOKUP(Table12[[#This Row],[CN]],'T5'!$A$2:$A$15,'T5'!$H$2:$H$15)</f>
        <v>671.02129281188968</v>
      </c>
      <c r="I14" s="12">
        <f>_xlfn.XLOOKUP(Table12[[#This Row],[CN]],'T6'!$A$2:$A$15,'T6'!$H$2:$H$15)</f>
        <v>421.49882281461225</v>
      </c>
      <c r="J14" s="12">
        <f>_xlfn.XLOOKUP(Table12[[#This Row],[CN]],'T7'!$A$2:$A$15,'T7'!$H$2:$H$15)</f>
        <v>677.8214285714289</v>
      </c>
      <c r="K14" s="12">
        <f>_xlfn.XLOOKUP(Table12[[#This Row],[CN]],'T8'!$A$2:$A$15,'T8'!$H$2:$H$15)</f>
        <v>620.9725158562369</v>
      </c>
      <c r="L14" s="12">
        <f>_xlfn.XLOOKUP(Table12[[#This Row],[CN]],'T9'!$A$2:$A$15,'T9'!$H$2:$H$15)</f>
        <v>349.50880644683116</v>
      </c>
      <c r="M14" s="12">
        <f>_xlfn.XLOOKUP(Table12[[#This Row],[CN]],'T10'!$A$2:$A$15,'T10'!$H$2:$H$15)</f>
        <v>428.57142857142856</v>
      </c>
      <c r="N14" s="13">
        <v>6013</v>
      </c>
      <c r="O14" s="14">
        <f>SUMIF('T1'!$A$2:$A$15, $A14, 'T1'!$H$2:$H$15)
+SUMIF('T2'!$A$2:$A$15, $A14, 'T2'!$H$2:$H$15)
+SUMIF('T3'!$A$2:$A$15, $A14, 'T3'!$H$2:$H$15)
+SUMIF('T4'!$A$2:$A$15, $A14, 'T4'!$H$2:$H$15)
+SUMIF('T5'!$A$2:$A$15, $A14, 'T5'!$H$2:$H$15)
+SUMIF('T6'!$A$2:$A$15, $A14, 'T6'!$H$2:$H$15)
+SUMIF('T7'!$A$2:$A$15, $A14, 'T7'!$H$2:$H$15)
+SUMIF('T8'!$A$2:$A$15, $A14, 'T8'!$H$2:$H$15)
+SUMIF('T9'!$A$2:$A$15, $A14, 'T9'!$H$2:$H$15)
+SUMIF('T10'!$A$2:$A$15, $A14, 'T10'!$H$2:$H$15)</f>
        <v>5901.4138411992972</v>
      </c>
      <c r="P14" s="12">
        <f>Table12[[#This Row],[Recalculated Score]]-Table12[[#This Row],[Original Score ]]</f>
        <v>-111.58615880070283</v>
      </c>
      <c r="Q14" s="12">
        <f>SUM(Table12[[#This Row],[Task1]:[Task10]])</f>
        <v>5901.4138411992972</v>
      </c>
      <c r="R14" s="12">
        <f>Table12[[#This Row],[Column1]]-Table12[[#This Row],[Recalculated Score]]</f>
        <v>0</v>
      </c>
      <c r="T14" s="15" t="s">
        <v>16</v>
      </c>
    </row>
    <row r="15" spans="1:23" s="9" customFormat="1" ht="28" customHeight="1" x14ac:dyDescent="0.2">
      <c r="A15" s="10" t="s">
        <v>17</v>
      </c>
      <c r="B15" s="10" t="s">
        <v>32</v>
      </c>
      <c r="C15" s="9" t="s">
        <v>36</v>
      </c>
      <c r="D15" s="11">
        <f>_xlfn.XLOOKUP(Table12[[#This Row],[CN]],'T1'!$A$2:$A$15,'T1'!$H$2:$H$15)</f>
        <v>600.9603443993708</v>
      </c>
      <c r="E15" s="12">
        <f>_xlfn.XLOOKUP(Table12[[#This Row],[CN]],'T2'!$A$2:$A$15,'T2'!$H$2:$H$15)</f>
        <v>735.94670658051484</v>
      </c>
      <c r="F15" s="12">
        <f>_xlfn.XLOOKUP(Table12[[#This Row],[CN]],'T3'!$A$2:$A$15,'T3'!$H$2:$H$15)</f>
        <v>0</v>
      </c>
      <c r="G15" s="12">
        <f>_xlfn.XLOOKUP(Table12[[#This Row],[CN]],'T4'!$A$2:$A$15,'T4'!$H$2:$H$15)</f>
        <v>0</v>
      </c>
      <c r="H15" s="12">
        <f>_xlfn.XLOOKUP(Table12[[#This Row],[CN]],'T5'!$A$2:$A$15,'T5'!$H$2:$H$15)</f>
        <v>57.390743908182749</v>
      </c>
      <c r="I15" s="12">
        <f>_xlfn.XLOOKUP(Table12[[#This Row],[CN]],'T6'!$A$2:$A$15,'T6'!$H$2:$H$15)</f>
        <v>290.04329004328997</v>
      </c>
      <c r="J15" s="12">
        <f>_xlfn.XLOOKUP(Table12[[#This Row],[CN]],'T7'!$A$2:$A$15,'T7'!$H$2:$H$15)</f>
        <v>494.64881822921018</v>
      </c>
      <c r="K15" s="12">
        <f>_xlfn.XLOOKUP(Table12[[#This Row],[CN]],'T8'!$A$2:$A$15,'T8'!$H$2:$H$15)</f>
        <v>1000.0000000000001</v>
      </c>
      <c r="L15" s="12">
        <f>_xlfn.XLOOKUP(Table12[[#This Row],[CN]],'T9'!$A$2:$A$15,'T9'!$H$2:$H$15)</f>
        <v>928.67118914604953</v>
      </c>
      <c r="M15" s="12">
        <f>_xlfn.XLOOKUP(Table12[[#This Row],[CN]],'T10'!$A$2:$A$15,'T10'!$H$2:$H$15)</f>
        <v>629.34705652362277</v>
      </c>
      <c r="N15" s="13">
        <v>4824</v>
      </c>
      <c r="O15" s="14">
        <f>SUMIF('T1'!$A$2:$A$15, $A15, 'T1'!$H$2:$H$15)
+SUMIF('T2'!$A$2:$A$15, $A15, 'T2'!$H$2:$H$15)
+SUMIF('T3'!$A$2:$A$15, $A15, 'T3'!$H$2:$H$15)
+SUMIF('T4'!$A$2:$A$15, $A15, 'T4'!$H$2:$H$15)
+SUMIF('T5'!$A$2:$A$15, $A15, 'T5'!$H$2:$H$15)
+SUMIF('T6'!$A$2:$A$15, $A15, 'T6'!$H$2:$H$15)
+SUMIF('T7'!$A$2:$A$15, $A15, 'T7'!$H$2:$H$15)
+SUMIF('T8'!$A$2:$A$15, $A15, 'T8'!$H$2:$H$15)
+SUMIF('T9'!$A$2:$A$15, $A15, 'T9'!$H$2:$H$15)
+SUMIF('T10'!$A$2:$A$15, $A15, 'T10'!$H$2:$H$15)</f>
        <v>4737.0081488302412</v>
      </c>
      <c r="P15" s="12">
        <f>Table12[[#This Row],[Recalculated Score]]-Table12[[#This Row],[Original Score ]]</f>
        <v>-86.991851169758775</v>
      </c>
      <c r="Q15" s="12">
        <f>SUM(Table12[[#This Row],[Task1]:[Task10]])</f>
        <v>4737.0081488302412</v>
      </c>
      <c r="R15" s="12">
        <f>Table12[[#This Row],[Column1]]-Table12[[#This Row],[Recalculated Score]]</f>
        <v>0</v>
      </c>
      <c r="T15" s="18" t="s">
        <v>18</v>
      </c>
    </row>
    <row r="16" spans="1:23" s="9" customFormat="1" ht="28" customHeight="1" x14ac:dyDescent="0.2">
      <c r="A16" s="10" t="s">
        <v>18</v>
      </c>
      <c r="B16" s="10" t="s">
        <v>33</v>
      </c>
      <c r="C16" s="9" t="s">
        <v>64</v>
      </c>
      <c r="D16" s="13"/>
      <c r="N16" s="13">
        <v>4041</v>
      </c>
      <c r="O16" s="21" t="s">
        <v>80</v>
      </c>
      <c r="P16" s="12" t="s">
        <v>80</v>
      </c>
      <c r="Q16" s="9">
        <f>SUM(Table12[[#This Row],[Task1]:[Task10]])</f>
        <v>0</v>
      </c>
      <c r="R16" s="12" t="e">
        <f>Table12[[#This Row],[Column1]]-Table12[[#This Row],[Recalculated Score]]</f>
        <v>#VALUE!</v>
      </c>
      <c r="T16" s="15" t="s">
        <v>14</v>
      </c>
    </row>
    <row r="17" spans="4:18" x14ac:dyDescent="0.2">
      <c r="D17" s="8"/>
      <c r="N17" s="8"/>
      <c r="O17" s="8"/>
      <c r="P17" s="6"/>
      <c r="Q17">
        <f>SUM(Table12[[#This Row],[Task1]:[Task10]])</f>
        <v>0</v>
      </c>
      <c r="R17" s="6">
        <f>Table12[[#This Row],[Column1]]-Table12[[#This Row],[Recalculated Score]]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Final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Hardman</dc:creator>
  <cp:lastModifiedBy>Laurence Hardman</cp:lastModifiedBy>
  <dcterms:created xsi:type="dcterms:W3CDTF">2026-05-31T09:46:18Z</dcterms:created>
  <dcterms:modified xsi:type="dcterms:W3CDTF">2026-05-31T16:38:27Z</dcterms:modified>
</cp:coreProperties>
</file>